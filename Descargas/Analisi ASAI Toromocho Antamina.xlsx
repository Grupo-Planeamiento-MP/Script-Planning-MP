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marco.sharepoint.com/sites/PlanificaciondeInventarios/Shared Documents/Proyectos/Python/Forecast/Datas/"/>
    </mc:Choice>
  </mc:AlternateContent>
  <xr:revisionPtr revIDLastSave="30" documentId="8_{E4915701-6181-4D2B-8011-312DB8C13298}" xr6:coauthVersionLast="47" xr6:coauthVersionMax="47" xr10:uidLastSave="{19ABAC25-32A7-4334-AE4C-3870BD12A511}"/>
  <bookViews>
    <workbookView xWindow="-120" yWindow="-120" windowWidth="20730" windowHeight="11040" xr2:uid="{6F5F2546-0858-4E59-86B7-7138C7E548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R9" i="1"/>
  <c r="R8" i="1"/>
  <c r="R7" i="1"/>
  <c r="R3" i="1"/>
  <c r="R4" i="1"/>
  <c r="R5" i="1"/>
  <c r="R6" i="1"/>
  <c r="R2" i="1"/>
  <c r="Q8" i="1"/>
  <c r="Q9" i="1"/>
  <c r="Q10" i="1"/>
  <c r="Q7" i="1"/>
  <c r="Q5" i="1"/>
  <c r="Q4" i="1"/>
  <c r="Q3" i="1"/>
  <c r="Q2" i="1"/>
  <c r="L12" i="1"/>
  <c r="L13" i="1"/>
  <c r="L14" i="1"/>
  <c r="L11" i="1"/>
  <c r="L3" i="1"/>
  <c r="L4" i="1"/>
  <c r="L5" i="1"/>
  <c r="L6" i="1"/>
  <c r="L7" i="1"/>
  <c r="L8" i="1"/>
  <c r="L9" i="1"/>
  <c r="L10" i="1"/>
  <c r="L2" i="1"/>
  <c r="K12" i="1"/>
  <c r="M12" i="1" s="1"/>
  <c r="K13" i="1"/>
  <c r="M13" i="1" s="1"/>
  <c r="K14" i="1"/>
  <c r="M14" i="1" s="1"/>
  <c r="K11" i="1"/>
  <c r="M11" i="1" s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2" i="1"/>
  <c r="M2" i="1" s="1"/>
  <c r="L16" i="1" l="1"/>
  <c r="M16" i="1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tc={CD54F8E2-9E38-4E06-AC3D-00A194C38994}</author>
    <author>tc={6D25F813-77AC-4126-ABB6-A691A0A8DC9A}</author>
    <author>tc={A4137E63-A3C4-49DC-96EE-8A172E19B468}</author>
    <author>tc={0D25F438-4654-4B02-A316-44D3D646965E}</author>
  </authors>
  <commentList>
    <comment ref="O3" authorId="0" shapeId="0" xr:uid="{CD54F8E2-9E38-4E06-AC3D-00A194C389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unicon</t>
      </text>
    </comment>
    <comment ref="O4" authorId="1" shapeId="0" xr:uid="{6D25F813-77AC-4126-ABB6-A691A0A8DC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posada</t>
      </text>
    </comment>
    <comment ref="O6" authorId="2" shapeId="0" xr:uid="{A4137E63-A3C4-49DC-96EE-8A172E19B4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11 unicon + 25 posada</t>
      </text>
    </comment>
    <comment ref="O10" authorId="3" shapeId="0" xr:uid="{0D25F438-4654-4B02-A316-44D3D64696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unicon</t>
      </text>
    </comment>
  </commentList>
</comments>
</file>

<file path=xl/sharedStrings.xml><?xml version="1.0" encoding="utf-8"?>
<sst xmlns="http://schemas.openxmlformats.org/spreadsheetml/2006/main" count="60" uniqueCount="41">
  <si>
    <t>A24120000119</t>
  </si>
  <si>
    <t>JGO</t>
  </si>
  <si>
    <t>BLOW BAR R, F/01-16.03.04, TAURO 30, NEOX-AMARILLA</t>
  </si>
  <si>
    <t>UND</t>
  </si>
  <si>
    <t>A25050000010</t>
  </si>
  <si>
    <t>PLACA DE IMPACTO 4-M-2, F/01-16.03.05, TAURO 30, NEOX-AMARILLA</t>
  </si>
  <si>
    <t>A24120000116</t>
  </si>
  <si>
    <t>PLACA DE IMPACTO DEL EJE DE ENTRADA, F/01-16.03.18, TAURO30, ALTO CR28%-ANARANJADO</t>
  </si>
  <si>
    <t>ZAPATA TAURO, F/01-16.03.50-A, AC. MARTENSITICO-VERDE</t>
  </si>
  <si>
    <t>A24120000118</t>
  </si>
  <si>
    <t>A25060000151</t>
  </si>
  <si>
    <t>PLACA CUADRADA 1007, F/01-16.10.07, TAURO 30, BAJO CR18%</t>
  </si>
  <si>
    <t>A24100000016</t>
  </si>
  <si>
    <t>BLOW BAR 222/80 E, F/16.03.12-C, PISCIS 3000, NEOX-AMARILLO</t>
  </si>
  <si>
    <t>A25080000146</t>
  </si>
  <si>
    <t>ZAPATA PISCIS 3000, F/01-16.03.51A, AC. MARTENSITICO-VERDE</t>
  </si>
  <si>
    <t>A25080000147</t>
  </si>
  <si>
    <t>ZAPATA PISCIS 3000, F/01-16.03.51B, AC. MARTENSITICO-VERDE</t>
  </si>
  <si>
    <t>A25080000148</t>
  </si>
  <si>
    <t>PLACA DE IMPACTO PISCIS 3000, F/01-16.10.06-C, NEOX-AMARILLO</t>
  </si>
  <si>
    <t>Costo EUR</t>
  </si>
  <si>
    <t>cantidad por juego</t>
  </si>
  <si>
    <t>Consumo Mensual Estimado</t>
  </si>
  <si>
    <t>UM</t>
  </si>
  <si>
    <t>Descripcion</t>
  </si>
  <si>
    <t>MAXIMO en Proyecto (Según Contrato)</t>
  </si>
  <si>
    <t>LT Historico</t>
  </si>
  <si>
    <t>Stock de seguridad</t>
  </si>
  <si>
    <t>Punto de Reorden</t>
  </si>
  <si>
    <t>Existencias Promedio</t>
  </si>
  <si>
    <t>Total</t>
  </si>
  <si>
    <t>Stock</t>
  </si>
  <si>
    <t>Comprometido</t>
  </si>
  <si>
    <t>Pedido</t>
  </si>
  <si>
    <t>T(256807499,6.0,2026-02-20,Fecha Comex) / T(256807497,1.0,2026-02-22,Cat A) / T(256807497,4.0,2026-02-20,Fecha Comex) / T(256810447,4.0,2026-02-22,Cat A) / BO(256810447,2025-12-04,2.0,2026-02-28,2026-04-29,ES)</t>
  </si>
  <si>
    <t>Dispponible</t>
  </si>
  <si>
    <t>ROP</t>
  </si>
  <si>
    <t>Q solicitar</t>
  </si>
  <si>
    <t>Orden Aprobada Colocar</t>
  </si>
  <si>
    <t>Código Articulo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</si>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</sst>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.0"/>
    <numFmt numFmtId="165" formatCode="0.0"/>
    <numFmt numFmtId="166" formatCode="[$€-2]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16" fontId="0" fillId="0" borderId="0" xfId="0" applyNumberFormat="1" applyAlignment="1">
      <alignment horizontal="center"/>
    </xf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hony  Prado Cornejo" id="{8F2DC4B9-FC11-434E-96C9-83231FB4E33F}" userId="S::aprado@marco.com.pe::fe3507df-5924-4dc8-ab3d-b04b05fe27e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" dT="2026-01-25T19:26:48.54" personId="{8F2DC4B9-FC11-434E-96C9-83231FB4E33F}" id="{CD54F8E2-9E38-4E06-AC3D-00A194C38994}">
    <text>unicon</text>
  </threadedComment>
  <threadedComment ref="O4" dT="2026-01-25T19:26:29.32" personId="{8F2DC4B9-FC11-434E-96C9-83231FB4E33F}" id="{6D25F813-77AC-4126-ABB6-A691A0A8DC9A}">
    <text>posada</text>
  </threadedComment>
  <threadedComment ref="O6" dT="2026-01-25T19:28:32.86" personId="{8F2DC4B9-FC11-434E-96C9-83231FB4E33F}" id="{A4137E63-A3C4-49DC-96EE-8A172E19B468}">
    <text>11 unicon + 25 posada</text>
  </threadedComment>
  <threadedComment ref="O10" dT="2026-01-25T19:30:58.33" personId="{8F2DC4B9-FC11-434E-96C9-83231FB4E33F}" id="{0D25F438-4654-4B02-A316-44D3D646965E}">
    <text>unicon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617A-76B2-417B-9C32-C51EAC656DEE}">
  <dimension ref="B1:AK21"/>
  <sheetViews>
    <sheetView showGridLines="0" tabSelected="1" zoomScaleNormal="100" workbookViewId="0">
      <selection activeCell="I7" sqref="I7"/>
    </sheetView>
  </sheetViews>
  <sheetFormatPr baseColWidth="10" defaultRowHeight="15" x14ac:dyDescent="0.25"/>
  <cols>
    <col min="1" max="1" width="5" customWidth="1"/>
    <col min="2" max="2" width="14.85546875" style="1" customWidth="1"/>
    <col min="3" max="3" width="25.85546875" style="1" customWidth="1"/>
    <col min="4" max="4" width="11.7109375" style="1" customWidth="1"/>
    <col min="5" max="5" width="14.7109375" style="1" bestFit="1" customWidth="1"/>
    <col min="6" max="6" width="14.42578125" style="1" bestFit="1" customWidth="1"/>
    <col min="7" max="7" width="13.42578125" style="1" customWidth="1"/>
    <col min="8" max="8" width="15.7109375" style="1" bestFit="1" customWidth="1"/>
    <col min="9" max="9" width="63.140625" customWidth="1"/>
    <col min="12" max="13" width="11.5703125" style="1"/>
    <col min="14" max="14" width="5.7109375" style="1" bestFit="1" customWidth="1"/>
    <col min="15" max="15" width="13.7109375" style="1" bestFit="1" customWidth="1"/>
    <col min="16" max="20" width="11.5703125" style="1"/>
    <col min="21" max="21" width="12.7109375" bestFit="1" customWidth="1"/>
  </cols>
  <sheetData>
    <row r="1" spans="2:37" s="5" customFormat="1" ht="34.5" customHeight="1" x14ac:dyDescent="0.25">
      <c r="B1" s="2" t="s">
        <v>40</v>
      </c>
      <c r="C1" s="2" t="s">
        <v>39</v>
      </c>
      <c r="D1" s="3" t="s">
        <v>23</v>
      </c>
      <c r="E1" s="2" t="s">
        <v>25</v>
      </c>
      <c r="F1" s="2" t="s">
        <v>21</v>
      </c>
      <c r="G1" s="2" t="s">
        <v>20</v>
      </c>
      <c r="H1" s="2" t="s">
        <v>22</v>
      </c>
      <c r="I1" s="2" t="s">
        <v>24</v>
      </c>
      <c r="J1" s="2" t="s">
        <v>26</v>
      </c>
      <c r="K1" s="2" t="s">
        <v>27</v>
      </c>
      <c r="L1" s="2" t="s">
        <v>28</v>
      </c>
      <c r="M1" s="2" t="s">
        <v>29</v>
      </c>
      <c r="N1" s="4" t="s">
        <v>31</v>
      </c>
      <c r="O1" s="4" t="s">
        <v>32</v>
      </c>
      <c r="P1" s="4" t="s">
        <v>33</v>
      </c>
      <c r="Q1" s="4" t="s">
        <v>35</v>
      </c>
      <c r="R1" s="4" t="s">
        <v>36</v>
      </c>
      <c r="S1" s="4" t="s">
        <v>37</v>
      </c>
      <c r="T1" s="4" t="s">
        <v>38</v>
      </c>
    </row>
    <row r="2" spans="2:37" s="27" customFormat="1" x14ac:dyDescent="0.25">
      <c r="B2" s="16" t="s">
        <v>0</v>
      </c>
      <c r="C2" s="16">
        <v>59150080300</v>
      </c>
      <c r="D2" s="17" t="s">
        <v>1</v>
      </c>
      <c r="E2" s="16">
        <v>2</v>
      </c>
      <c r="F2" s="16">
        <v>16</v>
      </c>
      <c r="G2" s="18">
        <v>790</v>
      </c>
      <c r="H2" s="16">
        <v>4</v>
      </c>
      <c r="I2" s="27" t="s">
        <v>2</v>
      </c>
      <c r="J2" s="19">
        <v>3</v>
      </c>
      <c r="K2" s="20">
        <f t="shared" ref="K2:K14" si="0">H2*G2*1.1*2</f>
        <v>6952.0000000000009</v>
      </c>
      <c r="L2" s="21">
        <f t="shared" ref="L2:L14" si="1">(J2+2)*H2*G2*1.1</f>
        <v>17380</v>
      </c>
      <c r="M2" s="21">
        <f t="shared" ref="M2:M14" si="2">(1.5 + J2)*H2*G2*1.1 + K2</f>
        <v>22594.000000000004</v>
      </c>
      <c r="N2" s="16">
        <v>14</v>
      </c>
      <c r="O2" s="16"/>
      <c r="P2" s="16"/>
      <c r="Q2" s="22">
        <f>N2-O2+P2</f>
        <v>14</v>
      </c>
      <c r="R2" s="22">
        <f>(J2+2)*H2</f>
        <v>20</v>
      </c>
      <c r="S2" s="22">
        <v>18</v>
      </c>
      <c r="T2" s="22">
        <v>18</v>
      </c>
    </row>
    <row r="3" spans="2:37" s="5" customFormat="1" x14ac:dyDescent="0.25">
      <c r="B3" s="4" t="s">
        <v>4</v>
      </c>
      <c r="C3" s="4">
        <v>59150080301</v>
      </c>
      <c r="D3" s="10" t="s">
        <v>3</v>
      </c>
      <c r="E3" s="4">
        <v>12</v>
      </c>
      <c r="F3" s="4"/>
      <c r="G3" s="9">
        <v>790</v>
      </c>
      <c r="H3" s="4">
        <v>4</v>
      </c>
      <c r="I3" s="5" t="s">
        <v>5</v>
      </c>
      <c r="J3" s="8">
        <v>3</v>
      </c>
      <c r="K3" s="13">
        <f t="shared" si="0"/>
        <v>6952.0000000000009</v>
      </c>
      <c r="L3" s="13">
        <f t="shared" si="1"/>
        <v>17380</v>
      </c>
      <c r="M3" s="13">
        <f t="shared" si="2"/>
        <v>22594.000000000004</v>
      </c>
      <c r="N3" s="4"/>
      <c r="O3" s="4">
        <v>11</v>
      </c>
      <c r="P3" s="4">
        <v>17</v>
      </c>
      <c r="Q3" s="4">
        <f>N3-O3+P3</f>
        <v>6</v>
      </c>
      <c r="R3" s="4">
        <f>(J3+2)*H3</f>
        <v>20</v>
      </c>
      <c r="S3" s="4">
        <v>20</v>
      </c>
      <c r="T3" s="4">
        <v>12</v>
      </c>
      <c r="U3" s="5" t="s">
        <v>34</v>
      </c>
      <c r="W3" s="11"/>
      <c r="Z3" s="11"/>
      <c r="AC3" s="11"/>
      <c r="AF3" s="11"/>
      <c r="AH3" s="11"/>
      <c r="AJ3" s="11"/>
      <c r="AK3" s="11"/>
    </row>
    <row r="4" spans="2:37" x14ac:dyDescent="0.25">
      <c r="B4" s="1" t="s">
        <v>6</v>
      </c>
      <c r="C4" s="1">
        <v>59150080321</v>
      </c>
      <c r="D4" s="6" t="s">
        <v>3</v>
      </c>
      <c r="E4" s="1">
        <v>1</v>
      </c>
      <c r="G4" s="7">
        <v>590</v>
      </c>
      <c r="H4" s="1">
        <v>0.3</v>
      </c>
      <c r="I4" t="s">
        <v>7</v>
      </c>
      <c r="J4" s="8">
        <v>3</v>
      </c>
      <c r="K4" s="13">
        <f t="shared" si="0"/>
        <v>389.40000000000003</v>
      </c>
      <c r="L4" s="14">
        <f t="shared" si="1"/>
        <v>973.50000000000011</v>
      </c>
      <c r="M4" s="14">
        <f t="shared" si="2"/>
        <v>1265.55</v>
      </c>
      <c r="N4" s="1">
        <v>3</v>
      </c>
      <c r="O4" s="1">
        <v>1</v>
      </c>
      <c r="P4" s="1">
        <v>4</v>
      </c>
      <c r="Q4" s="4">
        <f>N4-O4+P4</f>
        <v>6</v>
      </c>
      <c r="R4" s="4">
        <f>(J4+2)*H4</f>
        <v>1.5</v>
      </c>
      <c r="S4" s="4"/>
      <c r="T4" s="4"/>
    </row>
    <row r="5" spans="2:37" x14ac:dyDescent="0.25">
      <c r="B5" s="1" t="s">
        <v>9</v>
      </c>
      <c r="C5" s="1">
        <v>59150080320</v>
      </c>
      <c r="D5" s="6" t="s">
        <v>1</v>
      </c>
      <c r="E5" s="1">
        <v>1</v>
      </c>
      <c r="F5" s="1">
        <v>16</v>
      </c>
      <c r="G5" s="7">
        <v>61</v>
      </c>
      <c r="H5" s="1">
        <v>4</v>
      </c>
      <c r="I5" t="s">
        <v>8</v>
      </c>
      <c r="J5" s="8">
        <v>3</v>
      </c>
      <c r="K5" s="13">
        <f t="shared" si="0"/>
        <v>536.80000000000007</v>
      </c>
      <c r="L5" s="14">
        <f t="shared" si="1"/>
        <v>1342</v>
      </c>
      <c r="M5" s="14">
        <f t="shared" si="2"/>
        <v>1744.6000000000004</v>
      </c>
      <c r="N5" s="1">
        <v>8</v>
      </c>
      <c r="Q5" s="4">
        <f>N5-O5+P5</f>
        <v>8</v>
      </c>
      <c r="R5" s="4">
        <f>(J5+2)*H5</f>
        <v>20</v>
      </c>
      <c r="S5" s="4">
        <v>24</v>
      </c>
      <c r="T5" s="4">
        <v>8</v>
      </c>
    </row>
    <row r="6" spans="2:37" x14ac:dyDescent="0.25">
      <c r="B6" s="1" t="s">
        <v>10</v>
      </c>
      <c r="C6" s="1">
        <v>59150080319</v>
      </c>
      <c r="D6" s="6" t="s">
        <v>3</v>
      </c>
      <c r="E6" s="1">
        <v>10</v>
      </c>
      <c r="G6" s="7">
        <v>75</v>
      </c>
      <c r="H6" s="1">
        <v>4</v>
      </c>
      <c r="I6" t="s">
        <v>11</v>
      </c>
      <c r="J6" s="8">
        <v>3</v>
      </c>
      <c r="K6" s="13">
        <f t="shared" si="0"/>
        <v>660</v>
      </c>
      <c r="L6" s="14">
        <f t="shared" si="1"/>
        <v>1650.0000000000002</v>
      </c>
      <c r="M6" s="14">
        <f t="shared" si="2"/>
        <v>2145</v>
      </c>
      <c r="O6" s="1">
        <v>36</v>
      </c>
      <c r="P6" s="1">
        <v>11</v>
      </c>
      <c r="Q6" s="4">
        <v>0</v>
      </c>
      <c r="R6" s="4">
        <f>(J6+2)*H6</f>
        <v>20</v>
      </c>
      <c r="S6" s="4">
        <v>20</v>
      </c>
      <c r="T6" s="4">
        <v>10</v>
      </c>
    </row>
    <row r="7" spans="2:37" s="27" customFormat="1" ht="20.45" customHeight="1" x14ac:dyDescent="0.25">
      <c r="B7" s="16" t="s">
        <v>12</v>
      </c>
      <c r="C7" s="16">
        <v>59150080309</v>
      </c>
      <c r="D7" s="17" t="s">
        <v>1</v>
      </c>
      <c r="E7" s="16">
        <v>2</v>
      </c>
      <c r="F7" s="16">
        <v>6</v>
      </c>
      <c r="G7" s="18">
        <v>640</v>
      </c>
      <c r="H7" s="16">
        <v>3</v>
      </c>
      <c r="I7" s="27" t="s">
        <v>13</v>
      </c>
      <c r="J7" s="19">
        <v>3</v>
      </c>
      <c r="K7" s="20">
        <f t="shared" si="0"/>
        <v>4224</v>
      </c>
      <c r="L7" s="21">
        <f t="shared" si="1"/>
        <v>10560</v>
      </c>
      <c r="M7" s="21">
        <f t="shared" si="2"/>
        <v>13728</v>
      </c>
      <c r="N7" s="16">
        <v>12</v>
      </c>
      <c r="O7" s="16"/>
      <c r="P7" s="16"/>
      <c r="Q7" s="22">
        <f>N7-O7+P7</f>
        <v>12</v>
      </c>
      <c r="R7" s="22">
        <f>(J7+2)*(H7+H14)</f>
        <v>20</v>
      </c>
      <c r="S7" s="22">
        <v>24</v>
      </c>
      <c r="T7" s="22">
        <v>12</v>
      </c>
    </row>
    <row r="8" spans="2:37" x14ac:dyDescent="0.25">
      <c r="B8" s="1" t="s">
        <v>14</v>
      </c>
      <c r="C8" s="1">
        <v>59150080310</v>
      </c>
      <c r="D8" s="6" t="s">
        <v>1</v>
      </c>
      <c r="E8" s="1">
        <v>1</v>
      </c>
      <c r="F8" s="1">
        <v>12</v>
      </c>
      <c r="G8" s="7">
        <v>98</v>
      </c>
      <c r="H8" s="1">
        <v>4</v>
      </c>
      <c r="I8" t="s">
        <v>15</v>
      </c>
      <c r="J8" s="8">
        <v>3</v>
      </c>
      <c r="K8" s="13">
        <f t="shared" si="0"/>
        <v>862.40000000000009</v>
      </c>
      <c r="L8" s="14">
        <f t="shared" si="1"/>
        <v>2156</v>
      </c>
      <c r="M8" s="14">
        <f t="shared" si="2"/>
        <v>2802.8</v>
      </c>
      <c r="N8" s="1">
        <v>0</v>
      </c>
      <c r="Q8" s="4">
        <f t="shared" ref="Q8:Q10" si="3">N8-O8+P8</f>
        <v>0</v>
      </c>
      <c r="R8" s="4">
        <f>(J8+2)*(H8+H12)</f>
        <v>40</v>
      </c>
      <c r="S8" s="4">
        <v>48</v>
      </c>
      <c r="T8" s="4">
        <v>24</v>
      </c>
    </row>
    <row r="9" spans="2:37" x14ac:dyDescent="0.25">
      <c r="B9" s="1" t="s">
        <v>16</v>
      </c>
      <c r="C9" s="1">
        <v>59150080314</v>
      </c>
      <c r="D9" s="6" t="s">
        <v>1</v>
      </c>
      <c r="E9" s="1">
        <v>1</v>
      </c>
      <c r="F9" s="1">
        <v>12</v>
      </c>
      <c r="G9" s="7">
        <v>98</v>
      </c>
      <c r="H9" s="1">
        <v>4</v>
      </c>
      <c r="I9" t="s">
        <v>17</v>
      </c>
      <c r="J9" s="8">
        <v>3</v>
      </c>
      <c r="K9" s="13">
        <f t="shared" si="0"/>
        <v>862.40000000000009</v>
      </c>
      <c r="L9" s="14">
        <f t="shared" si="1"/>
        <v>2156</v>
      </c>
      <c r="M9" s="14">
        <f t="shared" si="2"/>
        <v>2802.8</v>
      </c>
      <c r="N9" s="1">
        <v>0</v>
      </c>
      <c r="Q9" s="4">
        <f t="shared" si="3"/>
        <v>0</v>
      </c>
      <c r="R9" s="4">
        <f>(J9+2)*(H9+H11)</f>
        <v>40</v>
      </c>
      <c r="S9" s="4">
        <v>48</v>
      </c>
      <c r="T9" s="4">
        <v>24</v>
      </c>
    </row>
    <row r="10" spans="2:37" x14ac:dyDescent="0.25">
      <c r="B10" s="1" t="s">
        <v>18</v>
      </c>
      <c r="C10" s="1">
        <v>59150080315</v>
      </c>
      <c r="D10" s="6" t="s">
        <v>3</v>
      </c>
      <c r="E10" s="1">
        <v>10</v>
      </c>
      <c r="G10" s="7">
        <v>427</v>
      </c>
      <c r="H10" s="1">
        <v>10</v>
      </c>
      <c r="I10" t="s">
        <v>19</v>
      </c>
      <c r="J10" s="8">
        <v>3</v>
      </c>
      <c r="K10" s="13">
        <f t="shared" si="0"/>
        <v>9394</v>
      </c>
      <c r="L10" s="14">
        <f t="shared" si="1"/>
        <v>23485.000000000004</v>
      </c>
      <c r="M10" s="14">
        <f t="shared" si="2"/>
        <v>30530.5</v>
      </c>
      <c r="O10" s="1">
        <v>8</v>
      </c>
      <c r="P10" s="1">
        <v>8</v>
      </c>
      <c r="Q10" s="4">
        <f t="shared" si="3"/>
        <v>0</v>
      </c>
      <c r="R10" s="4">
        <f>(J10+2)*(H10+H13)</f>
        <v>90</v>
      </c>
      <c r="S10" s="4">
        <v>90</v>
      </c>
      <c r="T10" s="4">
        <v>20</v>
      </c>
    </row>
    <row r="11" spans="2:37" s="5" customFormat="1" x14ac:dyDescent="0.25">
      <c r="B11" s="4" t="s">
        <v>16</v>
      </c>
      <c r="C11" s="4">
        <v>59150080314</v>
      </c>
      <c r="D11" s="10" t="s">
        <v>1</v>
      </c>
      <c r="E11" s="4">
        <v>1</v>
      </c>
      <c r="F11" s="4">
        <v>12</v>
      </c>
      <c r="G11" s="9">
        <v>98</v>
      </c>
      <c r="H11" s="4">
        <v>4</v>
      </c>
      <c r="I11" s="5" t="s">
        <v>17</v>
      </c>
      <c r="J11" s="8">
        <v>3</v>
      </c>
      <c r="K11" s="13">
        <f t="shared" si="0"/>
        <v>862.40000000000009</v>
      </c>
      <c r="L11" s="13">
        <f t="shared" si="1"/>
        <v>2156</v>
      </c>
      <c r="M11" s="13">
        <f t="shared" si="2"/>
        <v>2802.8</v>
      </c>
      <c r="N11" s="4"/>
      <c r="O11" s="4"/>
      <c r="P11" s="4"/>
      <c r="Q11" s="4"/>
      <c r="R11" s="4"/>
      <c r="S11" s="4"/>
      <c r="T11" s="4"/>
    </row>
    <row r="12" spans="2:37" s="5" customFormat="1" x14ac:dyDescent="0.25">
      <c r="B12" s="4" t="s">
        <v>14</v>
      </c>
      <c r="C12" s="4">
        <v>59150080310</v>
      </c>
      <c r="D12" s="10" t="s">
        <v>1</v>
      </c>
      <c r="E12" s="4">
        <v>1</v>
      </c>
      <c r="F12" s="4">
        <v>12</v>
      </c>
      <c r="G12" s="9">
        <v>98</v>
      </c>
      <c r="H12" s="4">
        <v>4</v>
      </c>
      <c r="I12" s="5" t="s">
        <v>15</v>
      </c>
      <c r="J12" s="8">
        <v>3</v>
      </c>
      <c r="K12" s="13">
        <f t="shared" si="0"/>
        <v>862.40000000000009</v>
      </c>
      <c r="L12" s="13">
        <f t="shared" si="1"/>
        <v>2156</v>
      </c>
      <c r="M12" s="13">
        <f t="shared" si="2"/>
        <v>2802.8</v>
      </c>
      <c r="N12" s="4"/>
      <c r="O12" s="4"/>
      <c r="P12" s="4"/>
      <c r="Q12" s="4"/>
      <c r="R12" s="4"/>
      <c r="S12" s="4"/>
      <c r="T12" s="4"/>
    </row>
    <row r="13" spans="2:37" x14ac:dyDescent="0.25">
      <c r="B13" s="1" t="s">
        <v>18</v>
      </c>
      <c r="C13" s="1">
        <v>59150080315</v>
      </c>
      <c r="D13" s="6" t="s">
        <v>3</v>
      </c>
      <c r="E13" s="1">
        <v>10</v>
      </c>
      <c r="G13" s="7">
        <v>427</v>
      </c>
      <c r="H13" s="1">
        <v>8</v>
      </c>
      <c r="I13" t="s">
        <v>19</v>
      </c>
      <c r="J13" s="8">
        <v>3</v>
      </c>
      <c r="K13" s="13">
        <f t="shared" si="0"/>
        <v>7515.2000000000007</v>
      </c>
      <c r="L13" s="13">
        <f t="shared" si="1"/>
        <v>18788</v>
      </c>
      <c r="M13" s="13">
        <f t="shared" si="2"/>
        <v>24424.400000000001</v>
      </c>
    </row>
    <row r="14" spans="2:37" s="25" customFormat="1" x14ac:dyDescent="0.25">
      <c r="B14" s="22" t="s">
        <v>12</v>
      </c>
      <c r="C14" s="22">
        <v>59150080309</v>
      </c>
      <c r="D14" s="23" t="s">
        <v>1</v>
      </c>
      <c r="E14" s="22">
        <v>2</v>
      </c>
      <c r="F14" s="22">
        <v>6</v>
      </c>
      <c r="G14" s="24">
        <v>640</v>
      </c>
      <c r="H14" s="22">
        <v>1</v>
      </c>
      <c r="I14" s="25" t="s">
        <v>13</v>
      </c>
      <c r="J14" s="19">
        <v>3</v>
      </c>
      <c r="K14" s="20">
        <f t="shared" si="0"/>
        <v>1408</v>
      </c>
      <c r="L14" s="20">
        <f t="shared" si="1"/>
        <v>3520.0000000000005</v>
      </c>
      <c r="M14" s="20">
        <f t="shared" si="2"/>
        <v>4576</v>
      </c>
      <c r="N14" s="22"/>
      <c r="O14" s="22"/>
      <c r="P14" s="22"/>
      <c r="Q14" s="22"/>
      <c r="R14" s="22"/>
      <c r="S14" s="22"/>
      <c r="T14" s="22"/>
    </row>
    <row r="15" spans="2:37" x14ac:dyDescent="0.25">
      <c r="G15" s="7"/>
      <c r="K15" s="28"/>
      <c r="L15" s="14"/>
      <c r="M15" s="14"/>
    </row>
    <row r="16" spans="2:37" x14ac:dyDescent="0.25">
      <c r="G16" s="7"/>
      <c r="H16" s="7"/>
      <c r="J16" s="12" t="s">
        <v>30</v>
      </c>
      <c r="K16" s="15">
        <f>SUM(K2:K14)</f>
        <v>41481.000000000007</v>
      </c>
      <c r="L16" s="15">
        <f>SUM(L2:L14)</f>
        <v>103702.5</v>
      </c>
      <c r="M16" s="15">
        <f>SUM(M2:M14)</f>
        <v>134813.25000000003</v>
      </c>
    </row>
    <row r="18" spans="8:20" x14ac:dyDescent="0.25">
      <c r="H18" s="7"/>
    </row>
    <row r="19" spans="8:20" x14ac:dyDescent="0.25">
      <c r="N19" s="26"/>
      <c r="O19" s="26"/>
      <c r="P19" s="26"/>
      <c r="Q19" s="26"/>
      <c r="R19" s="26"/>
      <c r="S19" s="26"/>
      <c r="T19" s="26"/>
    </row>
    <row r="20" spans="8:20" x14ac:dyDescent="0.25">
      <c r="H20" s="7"/>
    </row>
    <row r="21" spans="8:20" x14ac:dyDescent="0.25">
      <c r="H21" s="7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CBACC2-F28D-496E-B84F-9742B2541D2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C0E210F-3555-408D-9201-25CDDA5BEA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D7CF15-FCDC-46BD-B428-634F84530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4ddfd6-8c64-4e2d-a896-7873d19d9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 Prado Cornejo</dc:creator>
  <cp:lastModifiedBy>Sheyla Milenka Flores Quispe</cp:lastModifiedBy>
  <dcterms:created xsi:type="dcterms:W3CDTF">2026-01-21T17:20:29Z</dcterms:created>
  <dcterms:modified xsi:type="dcterms:W3CDTF">2026-06-01T03:17:07Z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
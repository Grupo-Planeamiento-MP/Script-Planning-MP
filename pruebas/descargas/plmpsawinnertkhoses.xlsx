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"/>
    </mc:Choice>
  </mc:AlternateContent>
  <xr:revisionPtr revIDLastSave="110" documentId="8_{58D33C0D-30FA-4E43-92F5-482881BA6917}" xr6:coauthVersionLast="47" xr6:coauthVersionMax="47" xr10:uidLastSave="{697231A8-8487-4CB9-96B6-8FE50A726E8F}"/>
  <bookViews>
    <workbookView xWindow="-108" yWindow="-108" windowWidth="23256" windowHeight="12576" xr2:uid="{FA53979F-4947-4268-9CD1-6B49B4BAE3BE}"/>
  </bookViews>
  <sheets>
    <sheet name="Sheet1" sheetId="1" r:id="rId1"/>
  </sheets>
  <definedNames>
    <definedName name="_xlnm._FilterDatabase" localSheetId="0" hidden="1">Sheet1!$A$5:$S$101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1" l="1"/>
  <c r="Q100" i="1"/>
  <c r="S100" i="1" s="1"/>
  <c r="M100" i="1"/>
  <c r="R99" i="1"/>
  <c r="Q99" i="1"/>
  <c r="S99" i="1" s="1"/>
  <c r="M99" i="1"/>
  <c r="R98" i="1"/>
  <c r="Q98" i="1"/>
  <c r="S98" i="1" s="1"/>
  <c r="M98" i="1"/>
  <c r="R97" i="1"/>
  <c r="Q97" i="1"/>
  <c r="S97" i="1" s="1"/>
  <c r="M97" i="1"/>
  <c r="R96" i="1"/>
  <c r="Q96" i="1"/>
  <c r="S96" i="1" s="1"/>
  <c r="M96" i="1"/>
  <c r="R95" i="1"/>
  <c r="Q95" i="1"/>
  <c r="S95" i="1" s="1"/>
  <c r="M95" i="1"/>
  <c r="R94" i="1"/>
  <c r="Q94" i="1"/>
  <c r="S94" i="1" s="1"/>
  <c r="M94" i="1"/>
  <c r="R93" i="1"/>
  <c r="Q93" i="1"/>
  <c r="S93" i="1" s="1"/>
  <c r="M93" i="1"/>
  <c r="R92" i="1"/>
  <c r="Q92" i="1"/>
  <c r="S92" i="1" s="1"/>
  <c r="M92" i="1"/>
  <c r="R91" i="1"/>
  <c r="Q91" i="1"/>
  <c r="S91" i="1" s="1"/>
  <c r="M91" i="1"/>
  <c r="R90" i="1"/>
  <c r="Q90" i="1"/>
  <c r="S90" i="1" s="1"/>
  <c r="M90" i="1"/>
  <c r="R89" i="1"/>
  <c r="Q89" i="1"/>
  <c r="S89" i="1" s="1"/>
  <c r="M89" i="1"/>
  <c r="M88" i="1"/>
  <c r="I88" i="1"/>
  <c r="Q88" i="1" s="1"/>
  <c r="S88" i="1" s="1"/>
  <c r="M87" i="1"/>
  <c r="I87" i="1"/>
  <c r="Q87" i="1" s="1"/>
  <c r="S87" i="1" s="1"/>
  <c r="M86" i="1"/>
  <c r="I86" i="1"/>
  <c r="R86" i="1" s="1"/>
  <c r="M85" i="1"/>
  <c r="I85" i="1"/>
  <c r="R85" i="1" s="1"/>
  <c r="M84" i="1"/>
  <c r="I84" i="1"/>
  <c r="Q84" i="1" s="1"/>
  <c r="S84" i="1" s="1"/>
  <c r="M83" i="1"/>
  <c r="I83" i="1"/>
  <c r="R83" i="1" s="1"/>
  <c r="M82" i="1"/>
  <c r="I82" i="1"/>
  <c r="R82" i="1" s="1"/>
  <c r="M81" i="1"/>
  <c r="I81" i="1"/>
  <c r="R81" i="1" s="1"/>
  <c r="M80" i="1"/>
  <c r="I80" i="1"/>
  <c r="Q80" i="1" s="1"/>
  <c r="S80" i="1" s="1"/>
  <c r="M79" i="1"/>
  <c r="I79" i="1"/>
  <c r="R79" i="1" s="1"/>
  <c r="R78" i="1"/>
  <c r="Q78" i="1"/>
  <c r="S78" i="1" s="1"/>
  <c r="M78" i="1"/>
  <c r="R77" i="1"/>
  <c r="Q77" i="1"/>
  <c r="S77" i="1" s="1"/>
  <c r="M77" i="1"/>
  <c r="R76" i="1"/>
  <c r="Q76" i="1"/>
  <c r="S76" i="1" s="1"/>
  <c r="M76" i="1"/>
  <c r="R75" i="1"/>
  <c r="Q75" i="1"/>
  <c r="S75" i="1" s="1"/>
  <c r="M75" i="1"/>
  <c r="R74" i="1"/>
  <c r="Q74" i="1"/>
  <c r="S74" i="1" s="1"/>
  <c r="M74" i="1"/>
  <c r="R73" i="1"/>
  <c r="Q73" i="1"/>
  <c r="S73" i="1" s="1"/>
  <c r="M73" i="1"/>
  <c r="R72" i="1"/>
  <c r="Q72" i="1"/>
  <c r="S72" i="1" s="1"/>
  <c r="M72" i="1"/>
  <c r="S71" i="1"/>
  <c r="R71" i="1"/>
  <c r="Q71" i="1"/>
  <c r="M71" i="1"/>
  <c r="R70" i="1"/>
  <c r="Q70" i="1"/>
  <c r="S70" i="1" s="1"/>
  <c r="M70" i="1"/>
  <c r="R69" i="1"/>
  <c r="Q69" i="1"/>
  <c r="S69" i="1" s="1"/>
  <c r="M69" i="1"/>
  <c r="R68" i="1"/>
  <c r="Q68" i="1"/>
  <c r="S68" i="1" s="1"/>
  <c r="M68" i="1"/>
  <c r="R67" i="1"/>
  <c r="Q67" i="1"/>
  <c r="S67" i="1" s="1"/>
  <c r="M67" i="1"/>
  <c r="M66" i="1"/>
  <c r="I66" i="1"/>
  <c r="Q66" i="1" s="1"/>
  <c r="S66" i="1" s="1"/>
  <c r="M65" i="1"/>
  <c r="I65" i="1"/>
  <c r="R65" i="1" s="1"/>
  <c r="M64" i="1"/>
  <c r="I64" i="1"/>
  <c r="Q64" i="1" s="1"/>
  <c r="S64" i="1" s="1"/>
  <c r="M63" i="1"/>
  <c r="I63" i="1"/>
  <c r="R63" i="1" s="1"/>
  <c r="M62" i="1"/>
  <c r="I62" i="1"/>
  <c r="R62" i="1" s="1"/>
  <c r="R61" i="1"/>
  <c r="Q61" i="1"/>
  <c r="S61" i="1" s="1"/>
  <c r="M61" i="1"/>
  <c r="R60" i="1"/>
  <c r="Q60" i="1"/>
  <c r="S60" i="1" s="1"/>
  <c r="M60" i="1"/>
  <c r="R59" i="1"/>
  <c r="Q59" i="1"/>
  <c r="S59" i="1" s="1"/>
  <c r="M59" i="1"/>
  <c r="R58" i="1"/>
  <c r="Q58" i="1"/>
  <c r="S58" i="1" s="1"/>
  <c r="M58" i="1"/>
  <c r="R57" i="1"/>
  <c r="Q57" i="1"/>
  <c r="S57" i="1" s="1"/>
  <c r="M57" i="1"/>
  <c r="R56" i="1"/>
  <c r="Q56" i="1"/>
  <c r="S56" i="1" s="1"/>
  <c r="M56" i="1"/>
  <c r="R55" i="1"/>
  <c r="Q55" i="1"/>
  <c r="S55" i="1" s="1"/>
  <c r="M55" i="1"/>
  <c r="R54" i="1"/>
  <c r="Q54" i="1"/>
  <c r="S54" i="1" s="1"/>
  <c r="M54" i="1"/>
  <c r="R53" i="1"/>
  <c r="Q53" i="1"/>
  <c r="S53" i="1" s="1"/>
  <c r="M53" i="1"/>
  <c r="R52" i="1"/>
  <c r="Q52" i="1"/>
  <c r="S52" i="1" s="1"/>
  <c r="M52" i="1"/>
  <c r="R51" i="1"/>
  <c r="Q51" i="1"/>
  <c r="S51" i="1" s="1"/>
  <c r="M51" i="1"/>
  <c r="R50" i="1"/>
  <c r="Q50" i="1"/>
  <c r="S50" i="1" s="1"/>
  <c r="M50" i="1"/>
  <c r="S49" i="1"/>
  <c r="R49" i="1"/>
  <c r="Q49" i="1"/>
  <c r="M49" i="1"/>
  <c r="R48" i="1"/>
  <c r="Q48" i="1"/>
  <c r="S48" i="1" s="1"/>
  <c r="M48" i="1"/>
  <c r="R47" i="1"/>
  <c r="Q47" i="1"/>
  <c r="S47" i="1" s="1"/>
  <c r="M47" i="1"/>
  <c r="R46" i="1"/>
  <c r="Q46" i="1"/>
  <c r="S46" i="1" s="1"/>
  <c r="M46" i="1"/>
  <c r="R45" i="1"/>
  <c r="Q45" i="1"/>
  <c r="S45" i="1" s="1"/>
  <c r="M45" i="1"/>
  <c r="R44" i="1"/>
  <c r="Q44" i="1"/>
  <c r="S44" i="1" s="1"/>
  <c r="M44" i="1"/>
  <c r="R43" i="1"/>
  <c r="Q43" i="1"/>
  <c r="S43" i="1" s="1"/>
  <c r="M43" i="1"/>
  <c r="R42" i="1"/>
  <c r="Q42" i="1"/>
  <c r="S42" i="1" s="1"/>
  <c r="M42" i="1"/>
  <c r="R41" i="1"/>
  <c r="Q41" i="1"/>
  <c r="S41" i="1" s="1"/>
  <c r="M41" i="1"/>
  <c r="R40" i="1"/>
  <c r="Q40" i="1"/>
  <c r="S40" i="1" s="1"/>
  <c r="M40" i="1"/>
  <c r="R39" i="1"/>
  <c r="Q39" i="1"/>
  <c r="S39" i="1" s="1"/>
  <c r="M39" i="1"/>
  <c r="R38" i="1"/>
  <c r="Q38" i="1"/>
  <c r="S38" i="1" s="1"/>
  <c r="M38" i="1"/>
  <c r="R37" i="1"/>
  <c r="Q37" i="1"/>
  <c r="S37" i="1" s="1"/>
  <c r="M37" i="1"/>
  <c r="R36" i="1"/>
  <c r="Q36" i="1"/>
  <c r="S36" i="1" s="1"/>
  <c r="M36" i="1"/>
  <c r="R35" i="1"/>
  <c r="Q35" i="1"/>
  <c r="S35" i="1" s="1"/>
  <c r="M35" i="1"/>
  <c r="R34" i="1"/>
  <c r="Q34" i="1"/>
  <c r="S34" i="1" s="1"/>
  <c r="M34" i="1"/>
  <c r="R33" i="1"/>
  <c r="Q33" i="1"/>
  <c r="S33" i="1" s="1"/>
  <c r="M33" i="1"/>
  <c r="R32" i="1"/>
  <c r="Q32" i="1"/>
  <c r="S32" i="1" s="1"/>
  <c r="M32" i="1"/>
  <c r="R31" i="1"/>
  <c r="Q31" i="1"/>
  <c r="S31" i="1" s="1"/>
  <c r="M31" i="1"/>
  <c r="R30" i="1"/>
  <c r="Q30" i="1"/>
  <c r="S30" i="1" s="1"/>
  <c r="M30" i="1"/>
  <c r="R29" i="1"/>
  <c r="Q29" i="1"/>
  <c r="S29" i="1" s="1"/>
  <c r="M29" i="1"/>
  <c r="R28" i="1"/>
  <c r="Q28" i="1"/>
  <c r="S28" i="1" s="1"/>
  <c r="M28" i="1"/>
  <c r="R27" i="1"/>
  <c r="Q27" i="1"/>
  <c r="S27" i="1" s="1"/>
  <c r="M27" i="1"/>
  <c r="R26" i="1"/>
  <c r="Q26" i="1"/>
  <c r="S26" i="1" s="1"/>
  <c r="M26" i="1"/>
  <c r="R25" i="1"/>
  <c r="Q25" i="1"/>
  <c r="S25" i="1" s="1"/>
  <c r="M25" i="1"/>
  <c r="R24" i="1"/>
  <c r="Q24" i="1"/>
  <c r="S24" i="1" s="1"/>
  <c r="M24" i="1"/>
  <c r="R23" i="1"/>
  <c r="Q23" i="1"/>
  <c r="S23" i="1" s="1"/>
  <c r="M23" i="1"/>
  <c r="R22" i="1"/>
  <c r="Q22" i="1"/>
  <c r="S22" i="1" s="1"/>
  <c r="M22" i="1"/>
  <c r="R21" i="1"/>
  <c r="Q21" i="1"/>
  <c r="S21" i="1" s="1"/>
  <c r="M21" i="1"/>
  <c r="R20" i="1"/>
  <c r="Q20" i="1"/>
  <c r="S20" i="1" s="1"/>
  <c r="M20" i="1"/>
  <c r="R19" i="1"/>
  <c r="Q19" i="1"/>
  <c r="S19" i="1" s="1"/>
  <c r="M19" i="1"/>
  <c r="R18" i="1"/>
  <c r="Q18" i="1"/>
  <c r="S18" i="1" s="1"/>
  <c r="M18" i="1"/>
  <c r="R17" i="1"/>
  <c r="Q17" i="1"/>
  <c r="S17" i="1" s="1"/>
  <c r="M17" i="1"/>
  <c r="R16" i="1"/>
  <c r="Q16" i="1"/>
  <c r="S16" i="1" s="1"/>
  <c r="M16" i="1"/>
  <c r="R15" i="1"/>
  <c r="Q15" i="1"/>
  <c r="S15" i="1" s="1"/>
  <c r="M15" i="1"/>
  <c r="R14" i="1"/>
  <c r="Q14" i="1"/>
  <c r="S14" i="1" s="1"/>
  <c r="M14" i="1"/>
  <c r="R13" i="1"/>
  <c r="Q13" i="1"/>
  <c r="S13" i="1" s="1"/>
  <c r="M13" i="1"/>
  <c r="R12" i="1"/>
  <c r="Q12" i="1"/>
  <c r="S12" i="1" s="1"/>
  <c r="M12" i="1"/>
  <c r="R11" i="1"/>
  <c r="Q11" i="1"/>
  <c r="S11" i="1" s="1"/>
  <c r="M11" i="1"/>
  <c r="R10" i="1"/>
  <c r="Q10" i="1"/>
  <c r="S10" i="1" s="1"/>
  <c r="M10" i="1"/>
  <c r="R9" i="1"/>
  <c r="Q9" i="1"/>
  <c r="S9" i="1" s="1"/>
  <c r="M9" i="1"/>
  <c r="R8" i="1"/>
  <c r="Q8" i="1"/>
  <c r="S8" i="1" s="1"/>
  <c r="M8" i="1"/>
  <c r="R7" i="1"/>
  <c r="Q7" i="1"/>
  <c r="S7" i="1" s="1"/>
  <c r="M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R6" i="1"/>
  <c r="Q6" i="1"/>
  <c r="S6" i="1" s="1"/>
  <c r="M6" i="1"/>
  <c r="Q85" i="1" l="1"/>
  <c r="S85" i="1" s="1"/>
  <c r="R87" i="1"/>
  <c r="Q83" i="1"/>
  <c r="S83" i="1" s="1"/>
  <c r="Q65" i="1"/>
  <c r="S65" i="1" s="1"/>
  <c r="Q81" i="1"/>
  <c r="S81" i="1" s="1"/>
  <c r="Q63" i="1"/>
  <c r="S63" i="1" s="1"/>
  <c r="Q79" i="1"/>
  <c r="S79" i="1" s="1"/>
  <c r="Q62" i="1"/>
  <c r="S62" i="1" s="1"/>
  <c r="Q82" i="1"/>
  <c r="S82" i="1" s="1"/>
  <c r="Q86" i="1"/>
  <c r="S86" i="1" s="1"/>
  <c r="R64" i="1"/>
  <c r="R66" i="1"/>
  <c r="R80" i="1"/>
  <c r="R84" i="1"/>
  <c r="R88" i="1"/>
  <c r="S10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tc={7C865D6B-FE00-4F92-9764-67F126E61143}</author>
  </authors>
  <commentList>
    <comment ref="G79" authorId="0" shapeId="0" xr:uid="{7C865D6B-FE00-4F92-9764-67F126E611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EL LEAD TIME CON PEDRO PABLO</t>
      </text>
    </comment>
  </commentList>
</comments>
</file>

<file path=xl/sharedStrings.xml><?xml version="1.0" encoding="utf-8"?>
<sst xmlns="http://schemas.openxmlformats.org/spreadsheetml/2006/main" count="490" uniqueCount="290">
  <si>
    <t xml:space="preserve">Aeroquip &amp; Winner Hoses </t>
  </si>
  <si>
    <t>USA &amp; DS Prices</t>
  </si>
  <si>
    <t>Effective: April 8th, 2025</t>
  </si>
  <si>
    <t>Order Draft</t>
  </si>
  <si>
    <t>#</t>
  </si>
  <si>
    <t>Brand</t>
  </si>
  <si>
    <t>SAP</t>
  </si>
  <si>
    <t>Danfoss Code</t>
  </si>
  <si>
    <t>P21 Code</t>
  </si>
  <si>
    <t>Description</t>
  </si>
  <si>
    <t>LEAD TIME (MES)</t>
  </si>
  <si>
    <t>Reel / Box / Pallet (m)</t>
  </si>
  <si>
    <t>Reel / Box / Pallet (Ft)</t>
  </si>
  <si>
    <t>Reel Size</t>
  </si>
  <si>
    <t>Pallet Packaging</t>
  </si>
  <si>
    <t>MOQ CCKY Plant (ft)</t>
  </si>
  <si>
    <t>MOQ CCKY Plant (m)</t>
  </si>
  <si>
    <t xml:space="preserve">MPSA Net TK USD (ft) </t>
  </si>
  <si>
    <t>MPSA Net TK USD (m)</t>
  </si>
  <si>
    <t>Qty Reels</t>
  </si>
  <si>
    <t>Total (ft)</t>
  </si>
  <si>
    <t>Total (m)</t>
  </si>
  <si>
    <t>Total Order USD</t>
  </si>
  <si>
    <t>Winner</t>
  </si>
  <si>
    <t>EC110-04LRL</t>
  </si>
  <si>
    <t xml:space="preserve">Hydraulic Hose SAE 100R1 - EN 853 Type 1SN Size -4 </t>
  </si>
  <si>
    <t>EC110-06LRL</t>
  </si>
  <si>
    <t xml:space="preserve">Hydraulic Hose SAE 100R1 - EN 853 Type 1SN Size -6 </t>
  </si>
  <si>
    <t>A18110005807</t>
  </si>
  <si>
    <t>EC110-08LRL</t>
  </si>
  <si>
    <t xml:space="preserve">Hydraulic Hose SAE 100R1 - EN 853 Type 1SN Size -8 </t>
  </si>
  <si>
    <t>EC110-12LRL</t>
  </si>
  <si>
    <t xml:space="preserve">Hydraulic Hose SAE 100R1 - EN 853 Type 1SN Size -12 </t>
  </si>
  <si>
    <t>EC110-16LRL</t>
  </si>
  <si>
    <t xml:space="preserve">Hydraulic Hose SAE 100R1 - EN 853 Type 1SN Size -16 </t>
  </si>
  <si>
    <t>EC110-20L</t>
  </si>
  <si>
    <t xml:space="preserve">Hydraulic Hose SAE 100R1 - EN 853 Type 1SN Size -20 </t>
  </si>
  <si>
    <t>EC110-24L</t>
  </si>
  <si>
    <t xml:space="preserve">Hydraulic Hose SAE 100R1 - EN 853 Type 1SN Size -24 </t>
  </si>
  <si>
    <t>A18110005466</t>
  </si>
  <si>
    <t>EC110-32L</t>
  </si>
  <si>
    <t xml:space="preserve">Hydraulic Hose SAE 100R1 - EN 853 Type 1SN Size -32 </t>
  </si>
  <si>
    <t>EC210-04LRL</t>
  </si>
  <si>
    <t xml:space="preserve">Hydraulic Hose SAE 100R2 - EN 853 Type 2SN Size -4 </t>
  </si>
  <si>
    <t>EC210-06LRL</t>
  </si>
  <si>
    <t xml:space="preserve">Hydraulic Hose SAE 100R2 - EN 853 Type 2SN Size -6 </t>
  </si>
  <si>
    <t>EC210-08LRL</t>
  </si>
  <si>
    <t xml:space="preserve">Hydraulic Hose SAE 100R2 - EN 853 Type 2SN Size -8 </t>
  </si>
  <si>
    <t>EC210-10LRL</t>
  </si>
  <si>
    <t xml:space="preserve">Hydraulic Hose SAE 100R2 - EN 853 Type 2SN Size -10 </t>
  </si>
  <si>
    <t>EC210-12LRL</t>
  </si>
  <si>
    <t xml:space="preserve">Hydraulic Hose SAE 100R2 - EN 853 Type 2SN Size -12 </t>
  </si>
  <si>
    <t>EC210-16LRL</t>
  </si>
  <si>
    <t xml:space="preserve">Hydraulic Hose SAE 100R2 - EN 853 Type 2SN Size -16 </t>
  </si>
  <si>
    <t>A18110005453</t>
  </si>
  <si>
    <t>EC210-20L</t>
  </si>
  <si>
    <t xml:space="preserve">Hydraulic Hose SAE 100R2 - EN 853 Type 2SN Size -20 </t>
  </si>
  <si>
    <t>EC210-24L</t>
  </si>
  <si>
    <t xml:space="preserve">Hydraulic Hose SAE 100R2 - EN 853 Type 2SN Size -24 </t>
  </si>
  <si>
    <t>EC210-32L</t>
  </si>
  <si>
    <t xml:space="preserve">Hydraulic Hose SAE 100R2 - EN 853 Type 2SN Size -32 </t>
  </si>
  <si>
    <t>A24010000031</t>
  </si>
  <si>
    <t>EC210-40L</t>
  </si>
  <si>
    <t>Hydraulic Hose SAE 100R2 - EN 853 Type 2SN Size -40</t>
  </si>
  <si>
    <t>A18110005540</t>
  </si>
  <si>
    <t>EC210-48L</t>
  </si>
  <si>
    <t>Hydraulic Hose SAE 100R2 - EN 853 Type 2SN Size -48</t>
  </si>
  <si>
    <t>A18110005705</t>
  </si>
  <si>
    <t>EC115-04LRL</t>
  </si>
  <si>
    <t xml:space="preserve">Hydraulic Hose EN 857 Type 1SC Size -4 </t>
  </si>
  <si>
    <t>20"</t>
  </si>
  <si>
    <t>8 reel per skid</t>
  </si>
  <si>
    <t>A20060000094</t>
  </si>
  <si>
    <t>EC115-06LRL</t>
  </si>
  <si>
    <t xml:space="preserve">Hydraulic Hose EN 857 Type 1SC Size -6 </t>
  </si>
  <si>
    <t>A18110005579</t>
  </si>
  <si>
    <t>EC115-08LRL</t>
  </si>
  <si>
    <t xml:space="preserve">Hydraulic Hose EN 857 Type 1SC Size -8 </t>
  </si>
  <si>
    <t>EC115-10LRL</t>
  </si>
  <si>
    <t xml:space="preserve">Hydraulic Hose EN 857 Type 1SC Size -10 </t>
  </si>
  <si>
    <t>24"</t>
  </si>
  <si>
    <t>A18110005618</t>
  </si>
  <si>
    <t>EC115-12LRL</t>
  </si>
  <si>
    <t xml:space="preserve">Hydraulic Hose EN 857 Type 1SC Size -12 </t>
  </si>
  <si>
    <t>A18110005631</t>
  </si>
  <si>
    <t>EC115-16LRL</t>
  </si>
  <si>
    <t xml:space="preserve">Hydraulic Hose EN 857 Type 1SC Size -16 </t>
  </si>
  <si>
    <t>A19030000293</t>
  </si>
  <si>
    <t>EC115-20L</t>
  </si>
  <si>
    <t xml:space="preserve">Hydraulic Hose EN 857 Type 1SC Size -20 </t>
  </si>
  <si>
    <t>A20040000004</t>
  </si>
  <si>
    <t>EC115-24L</t>
  </si>
  <si>
    <t xml:space="preserve">Hydraulic Hose EN 857 Type 1SC Size -24 </t>
  </si>
  <si>
    <t>A19030000294</t>
  </si>
  <si>
    <t>EC115-32L</t>
  </si>
  <si>
    <t xml:space="preserve">Hydraulic Hose EN 857 Type 1SC Size -32 </t>
  </si>
  <si>
    <t>A18110005501</t>
  </si>
  <si>
    <t>EC215-04LRL</t>
  </si>
  <si>
    <t>Hydraulic Hose EN 857 Type 2SC, SAE J 1942-1 Size -04</t>
  </si>
  <si>
    <t>A18110005469</t>
  </si>
  <si>
    <t>EC215-06LRL</t>
  </si>
  <si>
    <t>Hydraulic Hose EN 857 Type 2SC, SAE J 1942-1 Size -06</t>
  </si>
  <si>
    <t>A18130003741</t>
  </si>
  <si>
    <t>EC215-08LRL</t>
  </si>
  <si>
    <t>Hydraulic Hose EN 857 Type 2SC, SAE J 1942-1 Size -08</t>
  </si>
  <si>
    <t>A18110005884</t>
  </si>
  <si>
    <t>EC215-10LRL</t>
  </si>
  <si>
    <t>Hydraulic Hose EN 857 Type 2SC, SAE J 1942-1 Size -10</t>
  </si>
  <si>
    <t>A18110005463</t>
  </si>
  <si>
    <t>EC215-12LRL</t>
  </si>
  <si>
    <t>Hydraulic Hose EN 857 Type 2SC, SAE J 1942-1 Size -12</t>
  </si>
  <si>
    <t>A18130003742</t>
  </si>
  <si>
    <t>EC215-16LRL</t>
  </si>
  <si>
    <t>Hydraulic Hose EN 857 Type 2SC, SAE J 1942-1 Size -16</t>
  </si>
  <si>
    <t>A20080000083</t>
  </si>
  <si>
    <t>EC215-20L</t>
  </si>
  <si>
    <t>Hydraulic Hose EN 857 Type 2SC, SAE J 1942-1 Size -20</t>
  </si>
  <si>
    <t>A20080000084</t>
  </si>
  <si>
    <t>EC215-24L</t>
  </si>
  <si>
    <t>Hydraulic Hose EN 857 Type 2SC, SAE J 1942-1 Size -24</t>
  </si>
  <si>
    <t>A19120000185</t>
  </si>
  <si>
    <t>EC215-32L</t>
  </si>
  <si>
    <t>Hydraulic Hose EN 857 Type 2SC, SAE J 1942-1 Size -32</t>
  </si>
  <si>
    <t>EC118-04LRL</t>
  </si>
  <si>
    <t>Hydraulic Hose SAE 100R17 1 wire Size -4</t>
  </si>
  <si>
    <t>EC118-06LRL</t>
  </si>
  <si>
    <t>Hydraulic Hose SAE 100R17 1 wire Size -6</t>
  </si>
  <si>
    <t>EC118-08LRL</t>
  </si>
  <si>
    <t>Hydraulic Hose SAE 100R17 1 wire Size -8</t>
  </si>
  <si>
    <t>EC118-10LRL</t>
  </si>
  <si>
    <t>Hydraulic Hose SAE 100R17 2 wire Size -10</t>
  </si>
  <si>
    <t>EC118-12LRL</t>
  </si>
  <si>
    <t>Hydraulic Hose SAE 100R17 2 wire Size -12</t>
  </si>
  <si>
    <t>EC118-16LRL</t>
  </si>
  <si>
    <t>Hydraulic Hose SAE 100R17 2 wire Size -16</t>
  </si>
  <si>
    <t>A20080000085</t>
  </si>
  <si>
    <t>EC415-06L</t>
  </si>
  <si>
    <t>Hydraulic Hose SAE 100R12 4 Wire Spiral Hose Size -6</t>
  </si>
  <si>
    <t>100 x 120 carton box</t>
  </si>
  <si>
    <t>A19030000295</t>
  </si>
  <si>
    <t>EC415-08L</t>
  </si>
  <si>
    <t>Hydraulic Hose SAE 100R12 4 Wire Spiral Hose Size -8</t>
  </si>
  <si>
    <t>A20080000086</t>
  </si>
  <si>
    <t>EC415-10L</t>
  </si>
  <si>
    <t>Hydraulic Hose SAE 100R12 4 Wire Spiral Hose Size -10</t>
  </si>
  <si>
    <t>A19030000296</t>
  </si>
  <si>
    <t>EC415-12L</t>
  </si>
  <si>
    <t>Hydraulic Hose SAE 100R12 4 Wire Spiral Hose Size -12</t>
  </si>
  <si>
    <t>A19030000297</t>
  </si>
  <si>
    <t>EC415-16L</t>
  </si>
  <si>
    <t>Hydraulic Hose SAE 100R12 4 Wire Spiral Hose Size -16</t>
  </si>
  <si>
    <t>A19030000298</t>
  </si>
  <si>
    <t>EC415-20L</t>
  </si>
  <si>
    <t>Hydraulic Hose SAE 100R12 4 Wire Spiral Hose Size -20</t>
  </si>
  <si>
    <t>A19030000299</t>
  </si>
  <si>
    <t>EC415-24L</t>
  </si>
  <si>
    <t>Hydraulic Hose SAE 100R12 4 Wire Spiral Hose Size -24</t>
  </si>
  <si>
    <t>130 x 130 pallet</t>
  </si>
  <si>
    <t>A20010000130</t>
  </si>
  <si>
    <t>EC415-32L</t>
  </si>
  <si>
    <t>Hydraulic Hose SAE 100R12 4 Wire Spiral Hose Size -32</t>
  </si>
  <si>
    <t>A25030000043</t>
  </si>
  <si>
    <t>EC420-12L</t>
  </si>
  <si>
    <t>Hydraulic Hose SAE 100R13 4 Wire Spiral Hose Size -12</t>
  </si>
  <si>
    <t>A25030000044</t>
  </si>
  <si>
    <t>EC420-16L</t>
  </si>
  <si>
    <t>Hydraulic Hose SAE 100R13 4 Wire Spiral Hose Size -16</t>
  </si>
  <si>
    <t>A24010000029</t>
  </si>
  <si>
    <t>EC420-20L</t>
  </si>
  <si>
    <t>Hydraulic Hose SAE 100R13 6 Wire Spiral Hose Size -20</t>
  </si>
  <si>
    <t>A24010000030</t>
  </si>
  <si>
    <t>EC420-24L</t>
  </si>
  <si>
    <t>Hydraulic Hose SAE 100R13 6 Wire Spiral Hose Size -24</t>
  </si>
  <si>
    <t>A20120000026</t>
  </si>
  <si>
    <t>EC420-32L</t>
  </si>
  <si>
    <t>Hydraulic Hose SAE 100R13 6 Wire Spiral Hose Size -32</t>
  </si>
  <si>
    <t>A21050000066</t>
  </si>
  <si>
    <t>EC512-12L</t>
  </si>
  <si>
    <t>Hydraulic Hose EN856 4SH 4 wire spiral Hose size Size -12</t>
  </si>
  <si>
    <t>A21050000067</t>
  </si>
  <si>
    <t>EC512-16L</t>
  </si>
  <si>
    <t>Hydraulic Hose EN856 4SH 4 wire spiral Hose size Size -16</t>
  </si>
  <si>
    <t>A21050000068</t>
  </si>
  <si>
    <t>EC512-20L</t>
  </si>
  <si>
    <t>Hydraulic Hose EN856 4SH 4 wire spiral Hose size Size -20</t>
  </si>
  <si>
    <t>EC512-24L</t>
  </si>
  <si>
    <t>Hydraulic Hose EN856 4SH 4 wire spiral Hose size Size -24</t>
  </si>
  <si>
    <t>EC512-32L</t>
  </si>
  <si>
    <t>Hydraulic Hose EN856 4SH 4 wire spiral Hose size Size -32</t>
  </si>
  <si>
    <t>EC615-16</t>
  </si>
  <si>
    <t>Hydraulic Hose SAE 100R15 4 wire spiral Hose Size -16</t>
  </si>
  <si>
    <t>EC615-20</t>
  </si>
  <si>
    <t>Hydraulic Hose SAE 100R15 6 wire spiral Hose Size -20</t>
  </si>
  <si>
    <t>EC615-24</t>
  </si>
  <si>
    <t>Hydraulic Hose SAE 100R15 6 wire spiral Hose Size -24</t>
  </si>
  <si>
    <t>EC615-32</t>
  </si>
  <si>
    <t>Hydraulic Hose SAE 100R15 6 wire spiral Hose Size -32</t>
  </si>
  <si>
    <t>A24010000021</t>
  </si>
  <si>
    <t>EC640-06</t>
  </si>
  <si>
    <t>Hydraulic Hose SAE 100R15 4 wire spiral Hose Size -6</t>
  </si>
  <si>
    <t>A24010000022</t>
  </si>
  <si>
    <t>EC640-08</t>
  </si>
  <si>
    <t>EC64008</t>
  </si>
  <si>
    <t>Hydraulic Hose SAE 100R15 4 wire spiral Hose Size -8</t>
  </si>
  <si>
    <t>A24010000023</t>
  </si>
  <si>
    <t>EC640-10</t>
  </si>
  <si>
    <t>Hydraulic Hose SAE 100R15 4 wire spiral Hose Size -10</t>
  </si>
  <si>
    <t>A24010000024</t>
  </si>
  <si>
    <t>EC640-12</t>
  </si>
  <si>
    <t>Hydraulic Hose SAE 100R15 4 wire spiral Hose Size -12</t>
  </si>
  <si>
    <t>A24010000025</t>
  </si>
  <si>
    <t>EC640-16</t>
  </si>
  <si>
    <t>A24010000026</t>
  </si>
  <si>
    <t>EC640-20</t>
  </si>
  <si>
    <t>A24010000027</t>
  </si>
  <si>
    <t>EC640-24</t>
  </si>
  <si>
    <t>A24010000028</t>
  </si>
  <si>
    <t>EC640-32</t>
  </si>
  <si>
    <t>WH004-12</t>
  </si>
  <si>
    <t>Hydraulic Hose SAE 100R4 Size -12</t>
  </si>
  <si>
    <t>A20080000089</t>
  </si>
  <si>
    <t>WH004-16</t>
  </si>
  <si>
    <t>Hydraulic Hose SAE 100R4 Size -16</t>
  </si>
  <si>
    <t>A20080000090</t>
  </si>
  <si>
    <t>WH004-20</t>
  </si>
  <si>
    <t>Hydraulic Hose SAE 100R4 Size -20</t>
  </si>
  <si>
    <t>A20080000091</t>
  </si>
  <si>
    <t>WH004-24</t>
  </si>
  <si>
    <t>Hydraulic Hose SAE 100R4 Size -24</t>
  </si>
  <si>
    <t>A20080000092</t>
  </si>
  <si>
    <t>WH004-32</t>
  </si>
  <si>
    <t>Hydraulic Hose SAE 100R4 Size -32</t>
  </si>
  <si>
    <t>A20080000093</t>
  </si>
  <si>
    <t>WH004-40</t>
  </si>
  <si>
    <t>Hydraulic Hose SAE 100R4 Size -40</t>
  </si>
  <si>
    <t>A20080000094</t>
  </si>
  <si>
    <t>WH004-48</t>
  </si>
  <si>
    <t>Hydraulic Hose SAE 100R4 Size -48</t>
  </si>
  <si>
    <t>Aeroquip</t>
  </si>
  <si>
    <t>A18130007632</t>
  </si>
  <si>
    <t>GH466-20</t>
  </si>
  <si>
    <t>GH466-20MT60</t>
  </si>
  <si>
    <t>A18110003257</t>
  </si>
  <si>
    <t>GH466-24</t>
  </si>
  <si>
    <t>GH466-24MT60</t>
  </si>
  <si>
    <t>A18110003262</t>
  </si>
  <si>
    <t>GH466-32</t>
  </si>
  <si>
    <t>GH466-32MT60</t>
  </si>
  <si>
    <t>A18110003650</t>
  </si>
  <si>
    <t>GH781-4R500</t>
  </si>
  <si>
    <t>IGGH781-4R500</t>
  </si>
  <si>
    <t>Hydraulic Hose SAE 100R16 - EN 857 Type 2SC Size -04</t>
  </si>
  <si>
    <t>A18110003443</t>
  </si>
  <si>
    <t>GH781-6R500</t>
  </si>
  <si>
    <t>IGGH781-6R500</t>
  </si>
  <si>
    <t>Hydraulic Hose SAE 100R16 - EN 857 Type 2SC Size -06</t>
  </si>
  <si>
    <t>A18110003361</t>
  </si>
  <si>
    <t>GH781-8R500</t>
  </si>
  <si>
    <t>IGGH781-8R500</t>
  </si>
  <si>
    <t>Hydraulic Hose SAE 100R16 - EN 857 Type 2SC Size -08</t>
  </si>
  <si>
    <t>A18110003716</t>
  </si>
  <si>
    <t>GH781-10R250</t>
  </si>
  <si>
    <t>IGGH781-10R250</t>
  </si>
  <si>
    <t>Hydraulic Hose SAE 100R16 - EN 857 Type 2SC Size -10</t>
  </si>
  <si>
    <t>A18110003471</t>
  </si>
  <si>
    <t>GH781-12R250</t>
  </si>
  <si>
    <t>IGGH781-12R250</t>
  </si>
  <si>
    <t>Hydraulic Hose SAE 100R16 - EN 857 Type 2SC Size -12</t>
  </si>
  <si>
    <t>A18110003465</t>
  </si>
  <si>
    <t>GH781-16R150</t>
  </si>
  <si>
    <t>IGGH781-16R250</t>
  </si>
  <si>
    <t>Hydraulic Hose SAE 100R16 - EN 857 Type 2SC Size -16</t>
  </si>
  <si>
    <t>A18110003731</t>
  </si>
  <si>
    <t>GH493-6RL</t>
  </si>
  <si>
    <t>IGGH493-06L</t>
  </si>
  <si>
    <t>A18110003558</t>
  </si>
  <si>
    <t>GH493-8RL</t>
  </si>
  <si>
    <t>IGGH493-08L</t>
  </si>
  <si>
    <t>A18110003298</t>
  </si>
  <si>
    <t>GH493-10RL</t>
  </si>
  <si>
    <t>IGGH493-10L</t>
  </si>
  <si>
    <t>A18110003384</t>
  </si>
  <si>
    <t>GH493-12RL</t>
  </si>
  <si>
    <t>IGGH493-12L</t>
  </si>
  <si>
    <t>A18110003348</t>
  </si>
  <si>
    <t>GH493-16RL</t>
  </si>
  <si>
    <t>IGGH493-16L</t>
  </si>
  <si>
    <t>A18110003269</t>
  </si>
  <si>
    <t>GH493-20</t>
  </si>
  <si>
    <t>IGGH493-20L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</si>
</sst>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$&quot;* #,##0.00_ ;_ &quot;$&quot;* \-#,##0.00_ ;_ &quot;$&quot;* &quot;-&quot;??_ ;_ @_ "/>
    <numFmt numFmtId="166" formatCode="0.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3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9" fontId="3" fillId="3" borderId="1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2" fillId="5" borderId="1" xfId="1" applyFont="1" applyFill="1" applyBorder="1" applyAlignment="1">
      <alignment horizontal="center"/>
    </xf>
    <xf numFmtId="1" fontId="2" fillId="6" borderId="1" xfId="1" applyNumberFormat="1" applyFont="1" applyFill="1" applyBorder="1" applyAlignment="1">
      <alignment horizontal="center"/>
    </xf>
    <xf numFmtId="3" fontId="2" fillId="6" borderId="1" xfId="1" applyNumberFormat="1" applyFont="1" applyFill="1" applyBorder="1" applyAlignment="1">
      <alignment horizontal="right"/>
    </xf>
    <xf numFmtId="164" fontId="2" fillId="6" borderId="1" xfId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3" fontId="2" fillId="0" borderId="2" xfId="0" applyNumberFormat="1" applyFont="1" applyBorder="1" applyAlignment="1">
      <alignment horizontal="center"/>
    </xf>
    <xf numFmtId="3" fontId="2" fillId="0" borderId="2" xfId="1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165" fontId="5" fillId="0" borderId="1" xfId="0" applyNumberFormat="1" applyFont="1" applyBorder="1"/>
    <xf numFmtId="49" fontId="6" fillId="0" borderId="0" xfId="0" applyNumberFormat="1" applyFont="1" applyAlignment="1">
      <alignment horizontal="left" vertical="center"/>
    </xf>
    <xf numFmtId="1" fontId="3" fillId="14" borderId="1" xfId="1" applyNumberFormat="1" applyFont="1" applyFill="1" applyBorder="1" applyAlignment="1">
      <alignment horizontal="center" vertical="center" wrapText="1"/>
    </xf>
    <xf numFmtId="3" fontId="3" fillId="14" borderId="1" xfId="1" applyNumberFormat="1" applyFont="1" applyFill="1" applyBorder="1" applyAlignment="1">
      <alignment horizontal="right" vertical="center" wrapText="1"/>
    </xf>
    <xf numFmtId="164" fontId="3" fillId="14" borderId="1" xfId="1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1282065</xdr:colOff>
      <xdr:row>0</xdr:row>
      <xdr:rowOff>0</xdr:rowOff>
    </xdr:from>
    <xdr:to>
      <xdr:col>13</xdr:col>
      <xdr:colOff>479816</xdr:colOff>
      <xdr:row>2</xdr:row>
      <xdr:rowOff>172650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FF24D-EB83-4965-A69E-A2F091253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9465" y="0"/>
          <a:ext cx="1605671" cy="70605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0</xdr:rowOff>
    </xdr:from>
    <xdr:to>
      <xdr:col>10</xdr:col>
      <xdr:colOff>800100</xdr:colOff>
      <xdr:row>2</xdr:row>
      <xdr:rowOff>237863</xdr:rowOff>
    </xdr:to>
    <xdr:pic>
      <xdr:nvPicPr>
        <xdr:cNvPr id="3" name="Picture 2" descr="aeroquip-by-danfoss-red - Hydraquip">
          <a:extLst>
            <a:ext uri="{FF2B5EF4-FFF2-40B4-BE49-F238E27FC236}">
              <a16:creationId xmlns:a16="http://schemas.microsoft.com/office/drawing/2014/main" id="{E66AF77F-FFB8-4C9E-BFA5-9C88877525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265" b="28160"/>
        <a:stretch/>
      </xdr:blipFill>
      <xdr:spPr bwMode="auto">
        <a:xfrm>
          <a:off x="6629400" y="0"/>
          <a:ext cx="2133600" cy="647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thony  Prado Cornejo" id="{30F20674-AC65-4C39-B826-621AA05B1651}" userId="S::aprado@marco.com.pe::fe3507df-5924-4dc8-ab3d-b04b05fe27e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9" dT="2025-04-16T01:29:05.96" personId="{30F20674-AC65-4C39-B826-621AA05B1651}" id="{7C865D6B-FE00-4F92-9764-67F126E61143}">
    <text>REVISAR EL LEAD TIME CON PEDRO PABLO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E216-81EB-4011-AD17-E13E24D3AD3C}">
  <dimension ref="A1:S101"/>
  <sheetViews>
    <sheetView showGridLines="0" tabSelected="1" workbookViewId="0">
      <pane xSplit="2" ySplit="5" topLeftCell="C6" activePane="bottomRight" state="frozen"/>
      <selection pane="bottomRight" activeCell="K9" sqref="K9"/>
      <selection pane="bottomLeft" activeCell="A6" sqref="A6"/>
      <selection pane="topRight" activeCell="C1" sqref="C1"/>
    </sheetView>
  </sheetViews>
  <sheetFormatPr defaultColWidth="9.140625" defaultRowHeight="14.45"/>
  <cols>
    <col min="1" max="1" width="5.28515625" style="1" customWidth="1"/>
    <col min="2" max="2" width="9.28515625" style="1" bestFit="1" customWidth="1"/>
    <col min="3" max="3" width="13.7109375" style="1" customWidth="1"/>
    <col min="4" max="4" width="14.140625" style="1" bestFit="1" customWidth="1"/>
    <col min="5" max="5" width="17" style="1" bestFit="1" customWidth="1"/>
    <col min="6" max="6" width="52.140625" style="1" bestFit="1" customWidth="1"/>
    <col min="7" max="7" width="7.7109375" style="53" customWidth="1"/>
    <col min="8" max="9" width="6.28515625" style="1" bestFit="1" customWidth="1"/>
    <col min="10" max="10" width="9" style="1" bestFit="1" customWidth="1"/>
    <col min="11" max="11" width="18.85546875" style="1" bestFit="1" customWidth="1"/>
    <col min="12" max="12" width="8.140625" style="2" bestFit="1" customWidth="1"/>
    <col min="13" max="13" width="8.140625" style="2" customWidth="1"/>
    <col min="14" max="15" width="9.140625" style="1"/>
    <col min="16" max="16" width="6.5703125" style="1" customWidth="1"/>
    <col min="17" max="18" width="9.140625" style="1"/>
    <col min="19" max="19" width="12.7109375" style="1" customWidth="1"/>
    <col min="20" max="16384" width="9.140625" style="1"/>
  </cols>
  <sheetData>
    <row r="1" spans="1:19" ht="21">
      <c r="A1" s="45" t="s">
        <v>0</v>
      </c>
    </row>
    <row r="2" spans="1:19" ht="21">
      <c r="A2" s="45" t="s">
        <v>1</v>
      </c>
    </row>
    <row r="3" spans="1:19" ht="21">
      <c r="A3" s="45" t="s">
        <v>2</v>
      </c>
      <c r="P3" s="54" t="s">
        <v>3</v>
      </c>
      <c r="Q3" s="54"/>
      <c r="R3" s="54"/>
      <c r="S3" s="54"/>
    </row>
    <row r="4" spans="1:19" ht="5.0999999999999996" customHeight="1">
      <c r="A4" s="3"/>
      <c r="P4" s="4"/>
      <c r="Q4" s="5"/>
      <c r="R4" s="5"/>
    </row>
    <row r="5" spans="1:19" ht="60.7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8" t="s">
        <v>15</v>
      </c>
      <c r="M5" s="7" t="s">
        <v>16</v>
      </c>
      <c r="N5" s="9" t="s">
        <v>17</v>
      </c>
      <c r="O5" s="9" t="s">
        <v>18</v>
      </c>
      <c r="P5" s="46" t="s">
        <v>19</v>
      </c>
      <c r="Q5" s="47" t="s">
        <v>20</v>
      </c>
      <c r="R5" s="47" t="s">
        <v>21</v>
      </c>
      <c r="S5" s="48" t="s">
        <v>22</v>
      </c>
    </row>
    <row r="6" spans="1:19">
      <c r="A6" s="10">
        <v>1</v>
      </c>
      <c r="B6" s="10" t="s">
        <v>23</v>
      </c>
      <c r="C6" s="10"/>
      <c r="D6" s="10" t="s">
        <v>24</v>
      </c>
      <c r="E6" s="10"/>
      <c r="F6" s="11" t="s">
        <v>25</v>
      </c>
      <c r="G6" s="10"/>
      <c r="H6" s="12"/>
      <c r="I6" s="12"/>
      <c r="J6" s="12"/>
      <c r="K6" s="12"/>
      <c r="L6" s="13">
        <v>3000</v>
      </c>
      <c r="M6" s="12">
        <f>L6*0.3048</f>
        <v>914.40000000000009</v>
      </c>
      <c r="N6" s="14">
        <v>0.73333333333333339</v>
      </c>
      <c r="O6" s="14">
        <v>2.4059492563429572</v>
      </c>
      <c r="P6" s="15"/>
      <c r="Q6" s="16">
        <f>P6*I6</f>
        <v>0</v>
      </c>
      <c r="R6" s="16">
        <f>P6*I6</f>
        <v>0</v>
      </c>
      <c r="S6" s="17">
        <f>Q6*N6</f>
        <v>0</v>
      </c>
    </row>
    <row r="7" spans="1:19">
      <c r="A7" s="18">
        <f t="shared" ref="A7:A70" si="0">A6+1</f>
        <v>2</v>
      </c>
      <c r="B7" s="18" t="s">
        <v>23</v>
      </c>
      <c r="C7" s="18"/>
      <c r="D7" s="10" t="s">
        <v>26</v>
      </c>
      <c r="E7" s="10"/>
      <c r="F7" s="11" t="s">
        <v>27</v>
      </c>
      <c r="G7" s="10"/>
      <c r="H7" s="12"/>
      <c r="I7" s="12"/>
      <c r="J7" s="12"/>
      <c r="K7" s="12"/>
      <c r="L7" s="13">
        <v>3000</v>
      </c>
      <c r="M7" s="12">
        <f t="shared" ref="M7:M70" si="1">L7*0.3048</f>
        <v>914.40000000000009</v>
      </c>
      <c r="N7" s="14">
        <v>0.90666666666666673</v>
      </c>
      <c r="O7" s="14">
        <v>2.9746281714785652</v>
      </c>
      <c r="P7" s="15"/>
      <c r="Q7" s="16">
        <f t="shared" ref="Q7:Q70" si="2">P7*I7</f>
        <v>0</v>
      </c>
      <c r="R7" s="16">
        <f t="shared" ref="R7:R70" si="3">P7*I7</f>
        <v>0</v>
      </c>
      <c r="S7" s="17">
        <f t="shared" ref="S7:S70" si="4">Q7*N7</f>
        <v>0</v>
      </c>
    </row>
    <row r="8" spans="1:19">
      <c r="A8" s="18">
        <f t="shared" si="0"/>
        <v>3</v>
      </c>
      <c r="B8" s="18" t="s">
        <v>23</v>
      </c>
      <c r="C8" s="18" t="s">
        <v>28</v>
      </c>
      <c r="D8" s="10" t="s">
        <v>29</v>
      </c>
      <c r="E8" s="10"/>
      <c r="F8" s="11" t="s">
        <v>30</v>
      </c>
      <c r="G8" s="10">
        <v>2</v>
      </c>
      <c r="H8" s="12"/>
      <c r="I8" s="12"/>
      <c r="J8" s="12"/>
      <c r="K8" s="12"/>
      <c r="L8" s="13">
        <v>3000</v>
      </c>
      <c r="M8" s="12">
        <f t="shared" si="1"/>
        <v>914.40000000000009</v>
      </c>
      <c r="N8" s="14">
        <v>1.0133333333333334</v>
      </c>
      <c r="O8" s="14">
        <v>3.3245844269466316</v>
      </c>
      <c r="P8" s="15"/>
      <c r="Q8" s="16">
        <f t="shared" si="2"/>
        <v>0</v>
      </c>
      <c r="R8" s="16">
        <f t="shared" si="3"/>
        <v>0</v>
      </c>
      <c r="S8" s="17">
        <f t="shared" si="4"/>
        <v>0</v>
      </c>
    </row>
    <row r="9" spans="1:19">
      <c r="A9" s="18">
        <f t="shared" si="0"/>
        <v>4</v>
      </c>
      <c r="B9" s="18" t="s">
        <v>23</v>
      </c>
      <c r="C9" s="18"/>
      <c r="D9" s="10" t="s">
        <v>31</v>
      </c>
      <c r="E9" s="10"/>
      <c r="F9" s="11" t="s">
        <v>32</v>
      </c>
      <c r="G9" s="10"/>
      <c r="H9" s="12"/>
      <c r="I9" s="12"/>
      <c r="J9" s="12"/>
      <c r="K9" s="12"/>
      <c r="L9" s="13">
        <v>3000</v>
      </c>
      <c r="M9" s="12">
        <f t="shared" si="1"/>
        <v>914.40000000000009</v>
      </c>
      <c r="N9" s="14">
        <v>1.3733333333333333</v>
      </c>
      <c r="O9" s="14">
        <v>4.5056867891513557</v>
      </c>
      <c r="P9" s="15"/>
      <c r="Q9" s="16">
        <f t="shared" si="2"/>
        <v>0</v>
      </c>
      <c r="R9" s="16">
        <f t="shared" si="3"/>
        <v>0</v>
      </c>
      <c r="S9" s="17">
        <f t="shared" si="4"/>
        <v>0</v>
      </c>
    </row>
    <row r="10" spans="1:19">
      <c r="A10" s="18">
        <f t="shared" si="0"/>
        <v>5</v>
      </c>
      <c r="B10" s="18" t="s">
        <v>23</v>
      </c>
      <c r="C10" s="18"/>
      <c r="D10" s="10" t="s">
        <v>33</v>
      </c>
      <c r="E10" s="10"/>
      <c r="F10" s="11" t="s">
        <v>34</v>
      </c>
      <c r="G10" s="10"/>
      <c r="H10" s="12"/>
      <c r="I10" s="12"/>
      <c r="J10" s="12"/>
      <c r="K10" s="12"/>
      <c r="L10" s="13">
        <v>3000</v>
      </c>
      <c r="M10" s="12">
        <f t="shared" si="1"/>
        <v>914.40000000000009</v>
      </c>
      <c r="N10" s="14">
        <v>2.0133333333333332</v>
      </c>
      <c r="O10" s="14">
        <v>6.6054243219597542</v>
      </c>
      <c r="P10" s="15"/>
      <c r="Q10" s="16">
        <f t="shared" si="2"/>
        <v>0</v>
      </c>
      <c r="R10" s="16">
        <f t="shared" si="3"/>
        <v>0</v>
      </c>
      <c r="S10" s="17">
        <f t="shared" si="4"/>
        <v>0</v>
      </c>
    </row>
    <row r="11" spans="1:19">
      <c r="A11" s="18">
        <f t="shared" si="0"/>
        <v>6</v>
      </c>
      <c r="B11" s="18" t="s">
        <v>23</v>
      </c>
      <c r="C11" s="18"/>
      <c r="D11" s="10" t="s">
        <v>35</v>
      </c>
      <c r="E11" s="10"/>
      <c r="F11" s="11" t="s">
        <v>36</v>
      </c>
      <c r="G11" s="10"/>
      <c r="H11" s="12"/>
      <c r="I11" s="12"/>
      <c r="J11" s="12"/>
      <c r="K11" s="12"/>
      <c r="L11" s="13">
        <v>3000</v>
      </c>
      <c r="M11" s="12">
        <f t="shared" si="1"/>
        <v>914.40000000000009</v>
      </c>
      <c r="N11" s="14">
        <v>2.5066666666666664</v>
      </c>
      <c r="O11" s="14">
        <v>8.2239720034995614</v>
      </c>
      <c r="P11" s="15"/>
      <c r="Q11" s="16">
        <f t="shared" si="2"/>
        <v>0</v>
      </c>
      <c r="R11" s="16">
        <f t="shared" si="3"/>
        <v>0</v>
      </c>
      <c r="S11" s="17">
        <f t="shared" si="4"/>
        <v>0</v>
      </c>
    </row>
    <row r="12" spans="1:19">
      <c r="A12" s="18">
        <f t="shared" si="0"/>
        <v>7</v>
      </c>
      <c r="B12" s="18" t="s">
        <v>23</v>
      </c>
      <c r="C12" s="18"/>
      <c r="D12" s="10" t="s">
        <v>37</v>
      </c>
      <c r="E12" s="10"/>
      <c r="F12" s="11" t="s">
        <v>38</v>
      </c>
      <c r="G12" s="10"/>
      <c r="H12" s="12"/>
      <c r="I12" s="12"/>
      <c r="J12" s="12"/>
      <c r="K12" s="12"/>
      <c r="L12" s="13">
        <v>3000</v>
      </c>
      <c r="M12" s="12">
        <f t="shared" si="1"/>
        <v>914.40000000000009</v>
      </c>
      <c r="N12" s="14">
        <v>3.0266666666666668</v>
      </c>
      <c r="O12" s="14">
        <v>9.9300087489063866</v>
      </c>
      <c r="P12" s="15"/>
      <c r="Q12" s="16">
        <f t="shared" si="2"/>
        <v>0</v>
      </c>
      <c r="R12" s="16">
        <f t="shared" si="3"/>
        <v>0</v>
      </c>
      <c r="S12" s="17">
        <f t="shared" si="4"/>
        <v>0</v>
      </c>
    </row>
    <row r="13" spans="1:19">
      <c r="A13" s="18">
        <f t="shared" si="0"/>
        <v>8</v>
      </c>
      <c r="B13" s="18" t="s">
        <v>23</v>
      </c>
      <c r="C13" s="18" t="s">
        <v>39</v>
      </c>
      <c r="D13" s="10" t="s">
        <v>40</v>
      </c>
      <c r="E13" s="10"/>
      <c r="F13" s="11" t="s">
        <v>41</v>
      </c>
      <c r="G13" s="10">
        <v>2</v>
      </c>
      <c r="H13" s="12"/>
      <c r="I13" s="12"/>
      <c r="J13" s="12"/>
      <c r="K13" s="12"/>
      <c r="L13" s="13">
        <v>600</v>
      </c>
      <c r="M13" s="12">
        <f t="shared" si="1"/>
        <v>182.88</v>
      </c>
      <c r="N13" s="14">
        <v>3.8933333333333331</v>
      </c>
      <c r="O13" s="14">
        <v>12.773403324584425</v>
      </c>
      <c r="P13" s="15"/>
      <c r="Q13" s="16">
        <f t="shared" si="2"/>
        <v>0</v>
      </c>
      <c r="R13" s="16">
        <f t="shared" si="3"/>
        <v>0</v>
      </c>
      <c r="S13" s="17">
        <f t="shared" si="4"/>
        <v>0</v>
      </c>
    </row>
    <row r="14" spans="1:19">
      <c r="A14" s="19">
        <f t="shared" si="0"/>
        <v>9</v>
      </c>
      <c r="B14" s="19" t="s">
        <v>23</v>
      </c>
      <c r="C14" s="19"/>
      <c r="D14" s="19" t="s">
        <v>42</v>
      </c>
      <c r="E14" s="19"/>
      <c r="F14" s="20" t="s">
        <v>43</v>
      </c>
      <c r="G14" s="49">
        <v>2</v>
      </c>
      <c r="H14" s="12"/>
      <c r="I14" s="12"/>
      <c r="J14" s="12"/>
      <c r="K14" s="12"/>
      <c r="L14" s="13">
        <v>3000</v>
      </c>
      <c r="M14" s="12">
        <f t="shared" si="1"/>
        <v>914.40000000000009</v>
      </c>
      <c r="N14" s="14">
        <v>0.93333333333333324</v>
      </c>
      <c r="O14" s="14">
        <v>3.0621172353455814</v>
      </c>
      <c r="P14" s="15"/>
      <c r="Q14" s="16">
        <f t="shared" si="2"/>
        <v>0</v>
      </c>
      <c r="R14" s="16">
        <f t="shared" si="3"/>
        <v>0</v>
      </c>
      <c r="S14" s="17">
        <f t="shared" si="4"/>
        <v>0</v>
      </c>
    </row>
    <row r="15" spans="1:19">
      <c r="A15" s="19">
        <f t="shared" si="0"/>
        <v>10</v>
      </c>
      <c r="B15" s="19" t="s">
        <v>23</v>
      </c>
      <c r="C15" s="19"/>
      <c r="D15" s="19" t="s">
        <v>44</v>
      </c>
      <c r="E15" s="19"/>
      <c r="F15" s="20" t="s">
        <v>45</v>
      </c>
      <c r="G15" s="49">
        <v>2</v>
      </c>
      <c r="H15" s="12"/>
      <c r="I15" s="12"/>
      <c r="J15" s="12"/>
      <c r="K15" s="12"/>
      <c r="L15" s="13">
        <v>3000</v>
      </c>
      <c r="M15" s="12">
        <f t="shared" si="1"/>
        <v>914.40000000000009</v>
      </c>
      <c r="N15" s="14">
        <v>1.1599999999999999</v>
      </c>
      <c r="O15" s="14">
        <v>3.8057742782152229</v>
      </c>
      <c r="P15" s="15"/>
      <c r="Q15" s="16">
        <f t="shared" si="2"/>
        <v>0</v>
      </c>
      <c r="R15" s="16">
        <f t="shared" si="3"/>
        <v>0</v>
      </c>
      <c r="S15" s="17">
        <f t="shared" si="4"/>
        <v>0</v>
      </c>
    </row>
    <row r="16" spans="1:19">
      <c r="A16" s="19">
        <f t="shared" si="0"/>
        <v>11</v>
      </c>
      <c r="B16" s="19" t="s">
        <v>23</v>
      </c>
      <c r="C16" s="19"/>
      <c r="D16" s="19" t="s">
        <v>46</v>
      </c>
      <c r="E16" s="19"/>
      <c r="F16" s="20" t="s">
        <v>47</v>
      </c>
      <c r="G16" s="49">
        <v>2</v>
      </c>
      <c r="H16" s="12"/>
      <c r="I16" s="12"/>
      <c r="J16" s="12"/>
      <c r="K16" s="12"/>
      <c r="L16" s="13">
        <v>3000</v>
      </c>
      <c r="M16" s="12">
        <f t="shared" si="1"/>
        <v>914.40000000000009</v>
      </c>
      <c r="N16" s="14">
        <v>1.3466666666666667</v>
      </c>
      <c r="O16" s="14">
        <v>4.4181977252843394</v>
      </c>
      <c r="P16" s="15"/>
      <c r="Q16" s="16">
        <f t="shared" si="2"/>
        <v>0</v>
      </c>
      <c r="R16" s="16">
        <f t="shared" si="3"/>
        <v>0</v>
      </c>
      <c r="S16" s="17">
        <f t="shared" si="4"/>
        <v>0</v>
      </c>
    </row>
    <row r="17" spans="1:19">
      <c r="A17" s="19">
        <f t="shared" si="0"/>
        <v>12</v>
      </c>
      <c r="B17" s="19" t="s">
        <v>23</v>
      </c>
      <c r="C17" s="19"/>
      <c r="D17" s="19" t="s">
        <v>48</v>
      </c>
      <c r="E17" s="19"/>
      <c r="F17" s="20" t="s">
        <v>49</v>
      </c>
      <c r="G17" s="49">
        <v>2</v>
      </c>
      <c r="H17" s="12"/>
      <c r="I17" s="12"/>
      <c r="J17" s="12"/>
      <c r="K17" s="12"/>
      <c r="L17" s="13">
        <v>3000</v>
      </c>
      <c r="M17" s="12">
        <f t="shared" si="1"/>
        <v>914.40000000000009</v>
      </c>
      <c r="N17" s="14">
        <v>1.4133333333333333</v>
      </c>
      <c r="O17" s="14">
        <v>4.636920384951881</v>
      </c>
      <c r="P17" s="15"/>
      <c r="Q17" s="16">
        <f t="shared" si="2"/>
        <v>0</v>
      </c>
      <c r="R17" s="16">
        <f t="shared" si="3"/>
        <v>0</v>
      </c>
      <c r="S17" s="17">
        <f t="shared" si="4"/>
        <v>0</v>
      </c>
    </row>
    <row r="18" spans="1:19">
      <c r="A18" s="19">
        <f t="shared" si="0"/>
        <v>13</v>
      </c>
      <c r="B18" s="19" t="s">
        <v>23</v>
      </c>
      <c r="C18" s="19"/>
      <c r="D18" s="19" t="s">
        <v>50</v>
      </c>
      <c r="E18" s="19"/>
      <c r="F18" s="20" t="s">
        <v>51</v>
      </c>
      <c r="G18" s="49">
        <v>2</v>
      </c>
      <c r="H18" s="12"/>
      <c r="I18" s="12"/>
      <c r="J18" s="12"/>
      <c r="K18" s="12"/>
      <c r="L18" s="13">
        <v>3000</v>
      </c>
      <c r="M18" s="12">
        <f t="shared" si="1"/>
        <v>914.40000000000009</v>
      </c>
      <c r="N18" s="14">
        <v>1.8</v>
      </c>
      <c r="O18" s="14">
        <v>5.9055118110236222</v>
      </c>
      <c r="P18" s="15"/>
      <c r="Q18" s="16">
        <f t="shared" si="2"/>
        <v>0</v>
      </c>
      <c r="R18" s="16">
        <f t="shared" si="3"/>
        <v>0</v>
      </c>
      <c r="S18" s="17">
        <f t="shared" si="4"/>
        <v>0</v>
      </c>
    </row>
    <row r="19" spans="1:19">
      <c r="A19" s="19">
        <f t="shared" si="0"/>
        <v>14</v>
      </c>
      <c r="B19" s="19" t="s">
        <v>23</v>
      </c>
      <c r="C19" s="19"/>
      <c r="D19" s="19" t="s">
        <v>52</v>
      </c>
      <c r="E19" s="19"/>
      <c r="F19" s="20" t="s">
        <v>53</v>
      </c>
      <c r="G19" s="49">
        <v>2</v>
      </c>
      <c r="H19" s="12"/>
      <c r="I19" s="12"/>
      <c r="J19" s="12"/>
      <c r="K19" s="12"/>
      <c r="L19" s="13">
        <v>3000</v>
      </c>
      <c r="M19" s="12">
        <f t="shared" si="1"/>
        <v>914.40000000000009</v>
      </c>
      <c r="N19" s="14">
        <v>2.52</v>
      </c>
      <c r="O19" s="14">
        <v>8.2677165354330704</v>
      </c>
      <c r="P19" s="15"/>
      <c r="Q19" s="16">
        <f t="shared" si="2"/>
        <v>0</v>
      </c>
      <c r="R19" s="16">
        <f t="shared" si="3"/>
        <v>0</v>
      </c>
      <c r="S19" s="17">
        <f t="shared" si="4"/>
        <v>0</v>
      </c>
    </row>
    <row r="20" spans="1:19">
      <c r="A20" s="19">
        <f t="shared" si="0"/>
        <v>15</v>
      </c>
      <c r="B20" s="19" t="s">
        <v>23</v>
      </c>
      <c r="C20" s="19" t="s">
        <v>54</v>
      </c>
      <c r="D20" s="19" t="s">
        <v>55</v>
      </c>
      <c r="E20" s="19"/>
      <c r="F20" s="20" t="s">
        <v>56</v>
      </c>
      <c r="G20" s="49">
        <v>2</v>
      </c>
      <c r="H20" s="12"/>
      <c r="I20" s="12"/>
      <c r="J20" s="12"/>
      <c r="K20" s="12"/>
      <c r="L20" s="13">
        <v>3000</v>
      </c>
      <c r="M20" s="12">
        <f t="shared" si="1"/>
        <v>914.40000000000009</v>
      </c>
      <c r="N20" s="14">
        <v>3.4533333333333331</v>
      </c>
      <c r="O20" s="14">
        <v>11.329833770778652</v>
      </c>
      <c r="P20" s="15"/>
      <c r="Q20" s="16">
        <f t="shared" si="2"/>
        <v>0</v>
      </c>
      <c r="R20" s="16">
        <f t="shared" si="3"/>
        <v>0</v>
      </c>
      <c r="S20" s="17">
        <f t="shared" si="4"/>
        <v>0</v>
      </c>
    </row>
    <row r="21" spans="1:19">
      <c r="A21" s="19">
        <f t="shared" si="0"/>
        <v>16</v>
      </c>
      <c r="B21" s="19" t="s">
        <v>23</v>
      </c>
      <c r="C21" s="19"/>
      <c r="D21" s="19" t="s">
        <v>57</v>
      </c>
      <c r="E21" s="19"/>
      <c r="F21" s="20" t="s">
        <v>58</v>
      </c>
      <c r="G21" s="49">
        <v>2</v>
      </c>
      <c r="H21" s="12"/>
      <c r="I21" s="12"/>
      <c r="J21" s="12"/>
      <c r="K21" s="12"/>
      <c r="L21" s="13">
        <v>3000</v>
      </c>
      <c r="M21" s="12">
        <f t="shared" si="1"/>
        <v>914.40000000000009</v>
      </c>
      <c r="N21" s="14">
        <v>4.1066666666666665</v>
      </c>
      <c r="O21" s="14">
        <v>13.473315835520559</v>
      </c>
      <c r="P21" s="15"/>
      <c r="Q21" s="16">
        <f t="shared" si="2"/>
        <v>0</v>
      </c>
      <c r="R21" s="16">
        <f t="shared" si="3"/>
        <v>0</v>
      </c>
      <c r="S21" s="17">
        <f t="shared" si="4"/>
        <v>0</v>
      </c>
    </row>
    <row r="22" spans="1:19">
      <c r="A22" s="19">
        <f t="shared" si="0"/>
        <v>17</v>
      </c>
      <c r="B22" s="19" t="s">
        <v>23</v>
      </c>
      <c r="C22" s="19"/>
      <c r="D22" s="19" t="s">
        <v>59</v>
      </c>
      <c r="E22" s="19"/>
      <c r="F22" s="20" t="s">
        <v>60</v>
      </c>
      <c r="G22" s="19">
        <v>2</v>
      </c>
      <c r="H22" s="12"/>
      <c r="I22" s="12"/>
      <c r="J22" s="12"/>
      <c r="K22" s="12"/>
      <c r="L22" s="13">
        <v>600</v>
      </c>
      <c r="M22" s="12">
        <f t="shared" si="1"/>
        <v>182.88</v>
      </c>
      <c r="N22" s="14">
        <v>5.0133333333333328</v>
      </c>
      <c r="O22" s="14">
        <v>16.447944006999123</v>
      </c>
      <c r="P22" s="15"/>
      <c r="Q22" s="16">
        <f t="shared" si="2"/>
        <v>0</v>
      </c>
      <c r="R22" s="16">
        <f t="shared" si="3"/>
        <v>0</v>
      </c>
      <c r="S22" s="17">
        <f t="shared" si="4"/>
        <v>0</v>
      </c>
    </row>
    <row r="23" spans="1:19">
      <c r="A23" s="19">
        <f t="shared" si="0"/>
        <v>18</v>
      </c>
      <c r="B23" s="19" t="s">
        <v>23</v>
      </c>
      <c r="C23" s="19" t="s">
        <v>61</v>
      </c>
      <c r="D23" s="19" t="s">
        <v>62</v>
      </c>
      <c r="E23" s="19" t="s">
        <v>62</v>
      </c>
      <c r="F23" s="20" t="s">
        <v>63</v>
      </c>
      <c r="G23" s="19">
        <v>2</v>
      </c>
      <c r="H23" s="12"/>
      <c r="I23" s="12"/>
      <c r="J23" s="12"/>
      <c r="K23" s="12"/>
      <c r="L23" s="13">
        <v>600</v>
      </c>
      <c r="M23" s="12">
        <f t="shared" si="1"/>
        <v>182.88</v>
      </c>
      <c r="N23" s="14">
        <v>6.8133333333333335</v>
      </c>
      <c r="O23" s="14">
        <v>22.353455818022745</v>
      </c>
      <c r="P23" s="15"/>
      <c r="Q23" s="16">
        <f t="shared" si="2"/>
        <v>0</v>
      </c>
      <c r="R23" s="16">
        <f t="shared" si="3"/>
        <v>0</v>
      </c>
      <c r="S23" s="17">
        <f t="shared" si="4"/>
        <v>0</v>
      </c>
    </row>
    <row r="24" spans="1:19">
      <c r="A24" s="19">
        <f t="shared" si="0"/>
        <v>19</v>
      </c>
      <c r="B24" s="19" t="s">
        <v>23</v>
      </c>
      <c r="C24" s="19" t="s">
        <v>64</v>
      </c>
      <c r="D24" s="19" t="s">
        <v>65</v>
      </c>
      <c r="E24" s="19" t="s">
        <v>65</v>
      </c>
      <c r="F24" s="20" t="s">
        <v>66</v>
      </c>
      <c r="G24" s="19">
        <v>2</v>
      </c>
      <c r="H24" s="12"/>
      <c r="I24" s="12"/>
      <c r="J24" s="12"/>
      <c r="K24" s="12"/>
      <c r="L24" s="13">
        <v>600</v>
      </c>
      <c r="M24" s="12">
        <f t="shared" si="1"/>
        <v>182.88</v>
      </c>
      <c r="N24" s="14">
        <v>7.44</v>
      </c>
      <c r="O24" s="14">
        <v>24.409448818897637</v>
      </c>
      <c r="P24" s="15"/>
      <c r="Q24" s="16">
        <f t="shared" si="2"/>
        <v>0</v>
      </c>
      <c r="R24" s="16">
        <f t="shared" si="3"/>
        <v>0</v>
      </c>
      <c r="S24" s="17">
        <f t="shared" si="4"/>
        <v>0</v>
      </c>
    </row>
    <row r="25" spans="1:19">
      <c r="A25" s="21">
        <f t="shared" si="0"/>
        <v>20</v>
      </c>
      <c r="B25" s="21" t="s">
        <v>23</v>
      </c>
      <c r="C25" s="21" t="s">
        <v>67</v>
      </c>
      <c r="D25" s="21" t="s">
        <v>68</v>
      </c>
      <c r="E25" s="21" t="s">
        <v>68</v>
      </c>
      <c r="F25" s="22" t="s">
        <v>69</v>
      </c>
      <c r="G25" s="51">
        <v>2</v>
      </c>
      <c r="H25" s="23">
        <v>300</v>
      </c>
      <c r="I25" s="23">
        <v>984</v>
      </c>
      <c r="J25" s="23" t="s">
        <v>70</v>
      </c>
      <c r="K25" s="23" t="s">
        <v>71</v>
      </c>
      <c r="L25" s="24">
        <v>3000</v>
      </c>
      <c r="M25" s="12">
        <f t="shared" si="1"/>
        <v>914.40000000000009</v>
      </c>
      <c r="N25" s="14">
        <v>0.58536585365853655</v>
      </c>
      <c r="O25" s="14">
        <v>1.9204916458613404</v>
      </c>
      <c r="P25" s="15"/>
      <c r="Q25" s="16">
        <f t="shared" si="2"/>
        <v>0</v>
      </c>
      <c r="R25" s="16">
        <f t="shared" si="3"/>
        <v>0</v>
      </c>
      <c r="S25" s="17">
        <f t="shared" si="4"/>
        <v>0</v>
      </c>
    </row>
    <row r="26" spans="1:19">
      <c r="A26" s="21">
        <f t="shared" si="0"/>
        <v>21</v>
      </c>
      <c r="B26" s="21" t="s">
        <v>23</v>
      </c>
      <c r="C26" s="21" t="s">
        <v>72</v>
      </c>
      <c r="D26" s="21" t="s">
        <v>73</v>
      </c>
      <c r="E26" s="21" t="s">
        <v>73</v>
      </c>
      <c r="F26" s="22" t="s">
        <v>74</v>
      </c>
      <c r="G26" s="51">
        <v>2</v>
      </c>
      <c r="H26" s="23">
        <v>180</v>
      </c>
      <c r="I26" s="23">
        <v>590</v>
      </c>
      <c r="J26" s="23" t="s">
        <v>70</v>
      </c>
      <c r="K26" s="23" t="s">
        <v>71</v>
      </c>
      <c r="L26" s="24">
        <v>3000</v>
      </c>
      <c r="M26" s="12">
        <f t="shared" si="1"/>
        <v>914.40000000000009</v>
      </c>
      <c r="N26" s="14">
        <v>0.72000000000000008</v>
      </c>
      <c r="O26" s="14">
        <v>2.3622047244094491</v>
      </c>
      <c r="P26" s="15"/>
      <c r="Q26" s="16">
        <f t="shared" si="2"/>
        <v>0</v>
      </c>
      <c r="R26" s="16">
        <f t="shared" si="3"/>
        <v>0</v>
      </c>
      <c r="S26" s="17">
        <f t="shared" si="4"/>
        <v>0</v>
      </c>
    </row>
    <row r="27" spans="1:19">
      <c r="A27" s="21">
        <f t="shared" si="0"/>
        <v>22</v>
      </c>
      <c r="B27" s="21" t="s">
        <v>23</v>
      </c>
      <c r="C27" s="21" t="s">
        <v>75</v>
      </c>
      <c r="D27" s="21" t="s">
        <v>76</v>
      </c>
      <c r="E27" s="21" t="s">
        <v>76</v>
      </c>
      <c r="F27" s="22" t="s">
        <v>77</v>
      </c>
      <c r="G27" s="51">
        <v>2</v>
      </c>
      <c r="H27" s="23">
        <v>120</v>
      </c>
      <c r="I27" s="23">
        <v>393</v>
      </c>
      <c r="J27" s="23" t="s">
        <v>70</v>
      </c>
      <c r="K27" s="23" t="s">
        <v>71</v>
      </c>
      <c r="L27" s="24">
        <v>3000</v>
      </c>
      <c r="M27" s="12">
        <f t="shared" si="1"/>
        <v>914.40000000000009</v>
      </c>
      <c r="N27" s="14">
        <v>0.85333333333333339</v>
      </c>
      <c r="O27" s="14">
        <v>2.7996500437445322</v>
      </c>
      <c r="P27" s="15"/>
      <c r="Q27" s="16">
        <f t="shared" si="2"/>
        <v>0</v>
      </c>
      <c r="R27" s="16">
        <f t="shared" si="3"/>
        <v>0</v>
      </c>
      <c r="S27" s="17">
        <f t="shared" si="4"/>
        <v>0</v>
      </c>
    </row>
    <row r="28" spans="1:19">
      <c r="A28" s="21">
        <f t="shared" si="0"/>
        <v>23</v>
      </c>
      <c r="B28" s="21" t="s">
        <v>23</v>
      </c>
      <c r="C28" s="21"/>
      <c r="D28" s="21" t="s">
        <v>78</v>
      </c>
      <c r="E28" s="21" t="s">
        <v>78</v>
      </c>
      <c r="F28" s="22" t="s">
        <v>79</v>
      </c>
      <c r="G28" s="51">
        <v>2</v>
      </c>
      <c r="H28" s="23">
        <v>180</v>
      </c>
      <c r="I28" s="23">
        <v>590</v>
      </c>
      <c r="J28" s="23" t="s">
        <v>80</v>
      </c>
      <c r="K28" s="23" t="s">
        <v>71</v>
      </c>
      <c r="L28" s="24">
        <v>3000</v>
      </c>
      <c r="M28" s="12">
        <f t="shared" si="1"/>
        <v>914.40000000000009</v>
      </c>
      <c r="N28" s="14">
        <v>0.98666666666666669</v>
      </c>
      <c r="O28" s="14">
        <v>3.2370953630796149</v>
      </c>
      <c r="P28" s="15"/>
      <c r="Q28" s="16">
        <f t="shared" si="2"/>
        <v>0</v>
      </c>
      <c r="R28" s="16">
        <f t="shared" si="3"/>
        <v>0</v>
      </c>
      <c r="S28" s="17">
        <f t="shared" si="4"/>
        <v>0</v>
      </c>
    </row>
    <row r="29" spans="1:19">
      <c r="A29" s="21">
        <f t="shared" si="0"/>
        <v>24</v>
      </c>
      <c r="B29" s="21" t="s">
        <v>23</v>
      </c>
      <c r="C29" s="21" t="s">
        <v>81</v>
      </c>
      <c r="D29" s="21" t="s">
        <v>82</v>
      </c>
      <c r="E29" s="21" t="s">
        <v>82</v>
      </c>
      <c r="F29" s="22" t="s">
        <v>83</v>
      </c>
      <c r="G29" s="51">
        <v>2</v>
      </c>
      <c r="H29" s="23">
        <v>120</v>
      </c>
      <c r="I29" s="23">
        <v>393</v>
      </c>
      <c r="J29" s="23" t="s">
        <v>80</v>
      </c>
      <c r="K29" s="23" t="s">
        <v>71</v>
      </c>
      <c r="L29" s="24">
        <v>3000</v>
      </c>
      <c r="M29" s="12">
        <f t="shared" si="1"/>
        <v>914.40000000000009</v>
      </c>
      <c r="N29" s="14">
        <v>1.1066666666666667</v>
      </c>
      <c r="O29" s="14">
        <v>3.6307961504811899</v>
      </c>
      <c r="P29" s="15"/>
      <c r="Q29" s="16">
        <f t="shared" si="2"/>
        <v>0</v>
      </c>
      <c r="R29" s="16">
        <f t="shared" si="3"/>
        <v>0</v>
      </c>
      <c r="S29" s="17">
        <f t="shared" si="4"/>
        <v>0</v>
      </c>
    </row>
    <row r="30" spans="1:19">
      <c r="A30" s="21">
        <f t="shared" si="0"/>
        <v>25</v>
      </c>
      <c r="B30" s="21" t="s">
        <v>23</v>
      </c>
      <c r="C30" s="21" t="s">
        <v>84</v>
      </c>
      <c r="D30" s="21" t="s">
        <v>85</v>
      </c>
      <c r="E30" s="21" t="s">
        <v>85</v>
      </c>
      <c r="F30" s="22" t="s">
        <v>86</v>
      </c>
      <c r="G30" s="51">
        <v>2</v>
      </c>
      <c r="H30" s="23">
        <v>75</v>
      </c>
      <c r="I30" s="23">
        <v>246</v>
      </c>
      <c r="J30" s="23" t="s">
        <v>80</v>
      </c>
      <c r="K30" s="23" t="s">
        <v>71</v>
      </c>
      <c r="L30" s="24">
        <v>3000</v>
      </c>
      <c r="M30" s="12">
        <f t="shared" si="1"/>
        <v>914.40000000000009</v>
      </c>
      <c r="N30" s="14">
        <v>1.5599999999999998</v>
      </c>
      <c r="O30" s="14">
        <v>5.1181102362204713</v>
      </c>
      <c r="P30" s="15"/>
      <c r="Q30" s="16">
        <f t="shared" si="2"/>
        <v>0</v>
      </c>
      <c r="R30" s="16">
        <f t="shared" si="3"/>
        <v>0</v>
      </c>
      <c r="S30" s="17">
        <f t="shared" si="4"/>
        <v>0</v>
      </c>
    </row>
    <row r="31" spans="1:19">
      <c r="A31" s="21">
        <f t="shared" si="0"/>
        <v>26</v>
      </c>
      <c r="B31" s="21" t="s">
        <v>23</v>
      </c>
      <c r="C31" s="21" t="s">
        <v>87</v>
      </c>
      <c r="D31" s="21" t="s">
        <v>88</v>
      </c>
      <c r="E31" s="21" t="s">
        <v>88</v>
      </c>
      <c r="F31" s="22" t="s">
        <v>89</v>
      </c>
      <c r="G31" s="51">
        <v>2</v>
      </c>
      <c r="H31" s="23">
        <v>184</v>
      </c>
      <c r="I31" s="23">
        <v>603</v>
      </c>
      <c r="J31" s="23"/>
      <c r="K31" s="23"/>
      <c r="L31" s="24">
        <v>3000</v>
      </c>
      <c r="M31" s="12">
        <f t="shared" si="1"/>
        <v>914.40000000000009</v>
      </c>
      <c r="N31" s="14">
        <v>1.9733333333333334</v>
      </c>
      <c r="O31" s="14">
        <v>6.4741907261592297</v>
      </c>
      <c r="P31" s="15"/>
      <c r="Q31" s="16">
        <f t="shared" si="2"/>
        <v>0</v>
      </c>
      <c r="R31" s="16">
        <f t="shared" si="3"/>
        <v>0</v>
      </c>
      <c r="S31" s="17">
        <f t="shared" si="4"/>
        <v>0</v>
      </c>
    </row>
    <row r="32" spans="1:19">
      <c r="A32" s="21">
        <f t="shared" si="0"/>
        <v>27</v>
      </c>
      <c r="B32" s="21" t="s">
        <v>23</v>
      </c>
      <c r="C32" s="21" t="s">
        <v>90</v>
      </c>
      <c r="D32" s="21" t="s">
        <v>91</v>
      </c>
      <c r="E32" s="21" t="s">
        <v>91</v>
      </c>
      <c r="F32" s="22" t="s">
        <v>92</v>
      </c>
      <c r="G32" s="51">
        <v>2</v>
      </c>
      <c r="H32" s="23">
        <v>184</v>
      </c>
      <c r="I32" s="23">
        <v>603</v>
      </c>
      <c r="J32" s="23"/>
      <c r="K32" s="23"/>
      <c r="L32" s="24">
        <v>3000</v>
      </c>
      <c r="M32" s="12">
        <f t="shared" si="1"/>
        <v>914.40000000000009</v>
      </c>
      <c r="N32" s="14">
        <v>2.8666666666666667</v>
      </c>
      <c r="O32" s="14">
        <v>9.4050743657042872</v>
      </c>
      <c r="P32" s="15"/>
      <c r="Q32" s="16">
        <f t="shared" si="2"/>
        <v>0</v>
      </c>
      <c r="R32" s="16">
        <f t="shared" si="3"/>
        <v>0</v>
      </c>
      <c r="S32" s="17">
        <f t="shared" si="4"/>
        <v>0</v>
      </c>
    </row>
    <row r="33" spans="1:19">
      <c r="A33" s="21">
        <f t="shared" si="0"/>
        <v>28</v>
      </c>
      <c r="B33" s="21" t="s">
        <v>23</v>
      </c>
      <c r="C33" s="21" t="s">
        <v>93</v>
      </c>
      <c r="D33" s="21" t="s">
        <v>94</v>
      </c>
      <c r="E33" s="21" t="s">
        <v>94</v>
      </c>
      <c r="F33" s="22" t="s">
        <v>95</v>
      </c>
      <c r="G33" s="50">
        <v>2</v>
      </c>
      <c r="H33" s="23">
        <v>92</v>
      </c>
      <c r="I33" s="23">
        <v>301</v>
      </c>
      <c r="J33" s="23"/>
      <c r="K33" s="23"/>
      <c r="L33" s="24">
        <v>600</v>
      </c>
      <c r="M33" s="12">
        <f t="shared" si="1"/>
        <v>182.88</v>
      </c>
      <c r="N33" s="14">
        <v>3.5066666666666664</v>
      </c>
      <c r="O33" s="14">
        <v>11.504811898512685</v>
      </c>
      <c r="P33" s="15"/>
      <c r="Q33" s="16">
        <f t="shared" si="2"/>
        <v>0</v>
      </c>
      <c r="R33" s="16">
        <f t="shared" si="3"/>
        <v>0</v>
      </c>
      <c r="S33" s="17">
        <f t="shared" si="4"/>
        <v>0</v>
      </c>
    </row>
    <row r="34" spans="1:19">
      <c r="A34" s="25">
        <f t="shared" si="0"/>
        <v>29</v>
      </c>
      <c r="B34" s="25" t="s">
        <v>23</v>
      </c>
      <c r="C34" s="25" t="s">
        <v>96</v>
      </c>
      <c r="D34" s="25" t="s">
        <v>97</v>
      </c>
      <c r="E34" s="25" t="s">
        <v>97</v>
      </c>
      <c r="F34" s="26" t="s">
        <v>98</v>
      </c>
      <c r="G34" s="52">
        <v>2</v>
      </c>
      <c r="H34" s="23">
        <v>240</v>
      </c>
      <c r="I34" s="23">
        <v>787</v>
      </c>
      <c r="J34" s="23" t="s">
        <v>70</v>
      </c>
      <c r="K34" s="23" t="s">
        <v>71</v>
      </c>
      <c r="L34" s="24">
        <v>3000</v>
      </c>
      <c r="M34" s="12">
        <f t="shared" si="1"/>
        <v>914.40000000000009</v>
      </c>
      <c r="N34" s="14">
        <v>0.71951219512195108</v>
      </c>
      <c r="O34" s="14">
        <v>2.3606043147045637</v>
      </c>
      <c r="P34" s="15"/>
      <c r="Q34" s="16">
        <f t="shared" si="2"/>
        <v>0</v>
      </c>
      <c r="R34" s="16">
        <f t="shared" si="3"/>
        <v>0</v>
      </c>
      <c r="S34" s="17">
        <f t="shared" si="4"/>
        <v>0</v>
      </c>
    </row>
    <row r="35" spans="1:19">
      <c r="A35" s="25">
        <f t="shared" si="0"/>
        <v>30</v>
      </c>
      <c r="B35" s="25" t="s">
        <v>23</v>
      </c>
      <c r="C35" s="25" t="s">
        <v>99</v>
      </c>
      <c r="D35" s="25" t="s">
        <v>100</v>
      </c>
      <c r="E35" s="25" t="s">
        <v>100</v>
      </c>
      <c r="F35" s="26" t="s">
        <v>101</v>
      </c>
      <c r="G35" s="52">
        <v>2</v>
      </c>
      <c r="H35" s="23">
        <v>150</v>
      </c>
      <c r="I35" s="23">
        <v>492</v>
      </c>
      <c r="J35" s="23" t="s">
        <v>70</v>
      </c>
      <c r="K35" s="23" t="s">
        <v>71</v>
      </c>
      <c r="L35" s="24">
        <v>3000</v>
      </c>
      <c r="M35" s="12">
        <f t="shared" si="1"/>
        <v>914.40000000000009</v>
      </c>
      <c r="N35" s="14">
        <v>0.85365853658536572</v>
      </c>
      <c r="O35" s="14">
        <v>2.8007169835477876</v>
      </c>
      <c r="P35" s="15"/>
      <c r="Q35" s="16">
        <f t="shared" si="2"/>
        <v>0</v>
      </c>
      <c r="R35" s="16">
        <f t="shared" si="3"/>
        <v>0</v>
      </c>
      <c r="S35" s="17">
        <f t="shared" si="4"/>
        <v>0</v>
      </c>
    </row>
    <row r="36" spans="1:19">
      <c r="A36" s="25">
        <f t="shared" si="0"/>
        <v>31</v>
      </c>
      <c r="B36" s="25" t="s">
        <v>23</v>
      </c>
      <c r="C36" s="25" t="s">
        <v>102</v>
      </c>
      <c r="D36" s="25" t="s">
        <v>103</v>
      </c>
      <c r="E36" s="25" t="s">
        <v>103</v>
      </c>
      <c r="F36" s="26" t="s">
        <v>104</v>
      </c>
      <c r="G36" s="52">
        <v>2</v>
      </c>
      <c r="H36" s="23">
        <v>100</v>
      </c>
      <c r="I36" s="23">
        <v>328</v>
      </c>
      <c r="J36" s="23" t="s">
        <v>70</v>
      </c>
      <c r="K36" s="23" t="s">
        <v>71</v>
      </c>
      <c r="L36" s="24">
        <v>3000</v>
      </c>
      <c r="M36" s="12">
        <f t="shared" si="1"/>
        <v>914.40000000000009</v>
      </c>
      <c r="N36" s="14">
        <v>0.97560975609756095</v>
      </c>
      <c r="O36" s="14">
        <v>3.2008194097689007</v>
      </c>
      <c r="P36" s="15"/>
      <c r="Q36" s="16">
        <f t="shared" si="2"/>
        <v>0</v>
      </c>
      <c r="R36" s="16">
        <f t="shared" si="3"/>
        <v>0</v>
      </c>
      <c r="S36" s="17">
        <f t="shared" si="4"/>
        <v>0</v>
      </c>
    </row>
    <row r="37" spans="1:19">
      <c r="A37" s="25">
        <f t="shared" si="0"/>
        <v>32</v>
      </c>
      <c r="B37" s="25" t="s">
        <v>23</v>
      </c>
      <c r="C37" s="25" t="s">
        <v>105</v>
      </c>
      <c r="D37" s="25" t="s">
        <v>106</v>
      </c>
      <c r="E37" s="25" t="s">
        <v>106</v>
      </c>
      <c r="F37" s="26" t="s">
        <v>107</v>
      </c>
      <c r="G37" s="52">
        <v>2</v>
      </c>
      <c r="H37" s="23">
        <v>150</v>
      </c>
      <c r="I37" s="23">
        <v>492</v>
      </c>
      <c r="J37" s="23" t="s">
        <v>80</v>
      </c>
      <c r="K37" s="23" t="s">
        <v>71</v>
      </c>
      <c r="L37" s="24">
        <v>3000</v>
      </c>
      <c r="M37" s="12">
        <f t="shared" si="1"/>
        <v>914.40000000000009</v>
      </c>
      <c r="N37" s="14">
        <v>1.2374999999999998</v>
      </c>
      <c r="O37" s="14">
        <v>4.0600393700787389</v>
      </c>
      <c r="P37" s="15"/>
      <c r="Q37" s="16">
        <f t="shared" si="2"/>
        <v>0</v>
      </c>
      <c r="R37" s="16">
        <f t="shared" si="3"/>
        <v>0</v>
      </c>
      <c r="S37" s="17">
        <f t="shared" si="4"/>
        <v>0</v>
      </c>
    </row>
    <row r="38" spans="1:19">
      <c r="A38" s="25">
        <f t="shared" si="0"/>
        <v>33</v>
      </c>
      <c r="B38" s="25" t="s">
        <v>23</v>
      </c>
      <c r="C38" s="25" t="s">
        <v>108</v>
      </c>
      <c r="D38" s="25" t="s">
        <v>109</v>
      </c>
      <c r="E38" s="25" t="s">
        <v>109</v>
      </c>
      <c r="F38" s="26" t="s">
        <v>110</v>
      </c>
      <c r="G38" s="52">
        <v>2</v>
      </c>
      <c r="H38" s="23">
        <v>110</v>
      </c>
      <c r="I38" s="23">
        <v>361</v>
      </c>
      <c r="J38" s="23" t="s">
        <v>80</v>
      </c>
      <c r="K38" s="23" t="s">
        <v>71</v>
      </c>
      <c r="L38" s="24">
        <v>3000</v>
      </c>
      <c r="M38" s="12">
        <f t="shared" si="1"/>
        <v>914.40000000000009</v>
      </c>
      <c r="N38" s="14">
        <v>1.4000000000000001</v>
      </c>
      <c r="O38" s="14">
        <v>4.5931758530183728</v>
      </c>
      <c r="P38" s="15"/>
      <c r="Q38" s="16">
        <f t="shared" si="2"/>
        <v>0</v>
      </c>
      <c r="R38" s="16">
        <f t="shared" si="3"/>
        <v>0</v>
      </c>
      <c r="S38" s="17">
        <f t="shared" si="4"/>
        <v>0</v>
      </c>
    </row>
    <row r="39" spans="1:19">
      <c r="A39" s="25">
        <f t="shared" si="0"/>
        <v>34</v>
      </c>
      <c r="B39" s="25" t="s">
        <v>23</v>
      </c>
      <c r="C39" s="25" t="s">
        <v>111</v>
      </c>
      <c r="D39" s="25" t="s">
        <v>112</v>
      </c>
      <c r="E39" s="25" t="s">
        <v>112</v>
      </c>
      <c r="F39" s="26" t="s">
        <v>113</v>
      </c>
      <c r="G39" s="52">
        <v>2</v>
      </c>
      <c r="H39" s="23">
        <v>50</v>
      </c>
      <c r="I39" s="23">
        <v>164</v>
      </c>
      <c r="J39" s="23" t="s">
        <v>80</v>
      </c>
      <c r="K39" s="23" t="s">
        <v>71</v>
      </c>
      <c r="L39" s="24">
        <v>3000</v>
      </c>
      <c r="M39" s="12">
        <f t="shared" si="1"/>
        <v>914.40000000000009</v>
      </c>
      <c r="N39" s="14">
        <v>1.9750000000000001</v>
      </c>
      <c r="O39" s="14">
        <v>6.4796587926509188</v>
      </c>
      <c r="P39" s="15"/>
      <c r="Q39" s="16">
        <f t="shared" si="2"/>
        <v>0</v>
      </c>
      <c r="R39" s="16">
        <f t="shared" si="3"/>
        <v>0</v>
      </c>
      <c r="S39" s="17">
        <f t="shared" si="4"/>
        <v>0</v>
      </c>
    </row>
    <row r="40" spans="1:19">
      <c r="A40" s="25">
        <f t="shared" si="0"/>
        <v>35</v>
      </c>
      <c r="B40" s="25" t="s">
        <v>23</v>
      </c>
      <c r="C40" s="25" t="s">
        <v>114</v>
      </c>
      <c r="D40" s="25" t="s">
        <v>115</v>
      </c>
      <c r="E40" s="25" t="s">
        <v>115</v>
      </c>
      <c r="F40" s="26" t="s">
        <v>116</v>
      </c>
      <c r="G40" s="52">
        <v>2</v>
      </c>
      <c r="H40" s="23">
        <v>184</v>
      </c>
      <c r="I40" s="23">
        <v>603</v>
      </c>
      <c r="J40" s="23"/>
      <c r="K40" s="23"/>
      <c r="L40" s="24">
        <v>3000</v>
      </c>
      <c r="M40" s="12">
        <f t="shared" si="1"/>
        <v>914.40000000000009</v>
      </c>
      <c r="N40" s="14">
        <v>2.8266666666666667</v>
      </c>
      <c r="O40" s="14">
        <v>9.2738407699037619</v>
      </c>
      <c r="P40" s="15"/>
      <c r="Q40" s="16">
        <f t="shared" si="2"/>
        <v>0</v>
      </c>
      <c r="R40" s="16">
        <f t="shared" si="3"/>
        <v>0</v>
      </c>
      <c r="S40" s="17">
        <f t="shared" si="4"/>
        <v>0</v>
      </c>
    </row>
    <row r="41" spans="1:19">
      <c r="A41" s="25">
        <f t="shared" si="0"/>
        <v>36</v>
      </c>
      <c r="B41" s="25" t="s">
        <v>23</v>
      </c>
      <c r="C41" s="25" t="s">
        <v>117</v>
      </c>
      <c r="D41" s="25" t="s">
        <v>118</v>
      </c>
      <c r="E41" s="25" t="s">
        <v>118</v>
      </c>
      <c r="F41" s="26" t="s">
        <v>119</v>
      </c>
      <c r="G41" s="52">
        <v>2</v>
      </c>
      <c r="H41" s="23">
        <v>184</v>
      </c>
      <c r="I41" s="23">
        <v>603</v>
      </c>
      <c r="J41" s="23"/>
      <c r="K41" s="23"/>
      <c r="L41" s="24">
        <v>3000</v>
      </c>
      <c r="M41" s="12">
        <f t="shared" si="1"/>
        <v>914.40000000000009</v>
      </c>
      <c r="N41" s="14">
        <v>3.1333333333333333</v>
      </c>
      <c r="O41" s="14">
        <v>10.279965004374452</v>
      </c>
      <c r="P41" s="15"/>
      <c r="Q41" s="16">
        <f t="shared" si="2"/>
        <v>0</v>
      </c>
      <c r="R41" s="16">
        <f t="shared" si="3"/>
        <v>0</v>
      </c>
      <c r="S41" s="17">
        <f t="shared" si="4"/>
        <v>0</v>
      </c>
    </row>
    <row r="42" spans="1:19">
      <c r="A42" s="25">
        <f t="shared" si="0"/>
        <v>37</v>
      </c>
      <c r="B42" s="25" t="s">
        <v>23</v>
      </c>
      <c r="C42" s="25" t="s">
        <v>120</v>
      </c>
      <c r="D42" s="25" t="s">
        <v>121</v>
      </c>
      <c r="E42" s="25" t="s">
        <v>121</v>
      </c>
      <c r="F42" s="26" t="s">
        <v>122</v>
      </c>
      <c r="G42" s="25">
        <v>2</v>
      </c>
      <c r="H42" s="23">
        <v>92</v>
      </c>
      <c r="I42" s="23">
        <v>301</v>
      </c>
      <c r="J42" s="23"/>
      <c r="K42" s="23"/>
      <c r="L42" s="24">
        <v>600</v>
      </c>
      <c r="M42" s="12">
        <f t="shared" si="1"/>
        <v>182.88</v>
      </c>
      <c r="N42" s="14">
        <v>4.72</v>
      </c>
      <c r="O42" s="14">
        <v>15.48556430446194</v>
      </c>
      <c r="P42" s="15"/>
      <c r="Q42" s="16">
        <f t="shared" si="2"/>
        <v>0</v>
      </c>
      <c r="R42" s="16">
        <f t="shared" si="3"/>
        <v>0</v>
      </c>
      <c r="S42" s="17">
        <f t="shared" si="4"/>
        <v>0</v>
      </c>
    </row>
    <row r="43" spans="1:19">
      <c r="A43" s="27">
        <f t="shared" si="0"/>
        <v>38</v>
      </c>
      <c r="B43" s="27" t="s">
        <v>23</v>
      </c>
      <c r="C43" s="27"/>
      <c r="D43" s="27" t="s">
        <v>123</v>
      </c>
      <c r="E43" s="27" t="s">
        <v>123</v>
      </c>
      <c r="F43" s="28" t="s">
        <v>124</v>
      </c>
      <c r="G43" s="27"/>
      <c r="H43" s="23">
        <v>300</v>
      </c>
      <c r="I43" s="23">
        <v>984</v>
      </c>
      <c r="J43" s="23"/>
      <c r="K43" s="23"/>
      <c r="L43" s="24">
        <v>3000</v>
      </c>
      <c r="M43" s="12">
        <f t="shared" si="1"/>
        <v>914.40000000000009</v>
      </c>
      <c r="N43" s="14">
        <v>0.64</v>
      </c>
      <c r="O43" s="14">
        <v>2.0997375328083989</v>
      </c>
      <c r="P43" s="15"/>
      <c r="Q43" s="16">
        <f t="shared" si="2"/>
        <v>0</v>
      </c>
      <c r="R43" s="16">
        <f t="shared" si="3"/>
        <v>0</v>
      </c>
      <c r="S43" s="17">
        <f t="shared" si="4"/>
        <v>0</v>
      </c>
    </row>
    <row r="44" spans="1:19">
      <c r="A44" s="27">
        <f t="shared" si="0"/>
        <v>39</v>
      </c>
      <c r="B44" s="27" t="s">
        <v>23</v>
      </c>
      <c r="C44" s="27"/>
      <c r="D44" s="27" t="s">
        <v>125</v>
      </c>
      <c r="E44" s="27" t="s">
        <v>125</v>
      </c>
      <c r="F44" s="28" t="s">
        <v>126</v>
      </c>
      <c r="G44" s="27"/>
      <c r="H44" s="23">
        <v>180</v>
      </c>
      <c r="I44" s="23">
        <v>590</v>
      </c>
      <c r="J44" s="23"/>
      <c r="K44" s="23"/>
      <c r="L44" s="24">
        <v>3000</v>
      </c>
      <c r="M44" s="12">
        <f t="shared" si="1"/>
        <v>914.40000000000009</v>
      </c>
      <c r="N44" s="14">
        <v>0.72000000000000008</v>
      </c>
      <c r="O44" s="14">
        <v>2.3622047244094491</v>
      </c>
      <c r="P44" s="15"/>
      <c r="Q44" s="16">
        <f t="shared" si="2"/>
        <v>0</v>
      </c>
      <c r="R44" s="16">
        <f t="shared" si="3"/>
        <v>0</v>
      </c>
      <c r="S44" s="17">
        <f t="shared" si="4"/>
        <v>0</v>
      </c>
    </row>
    <row r="45" spans="1:19">
      <c r="A45" s="27">
        <f t="shared" si="0"/>
        <v>40</v>
      </c>
      <c r="B45" s="27" t="s">
        <v>23</v>
      </c>
      <c r="C45" s="27"/>
      <c r="D45" s="27" t="s">
        <v>127</v>
      </c>
      <c r="E45" s="27" t="s">
        <v>127</v>
      </c>
      <c r="F45" s="28" t="s">
        <v>128</v>
      </c>
      <c r="G45" s="27"/>
      <c r="H45" s="23">
        <v>120</v>
      </c>
      <c r="I45" s="23">
        <v>390</v>
      </c>
      <c r="J45" s="23"/>
      <c r="K45" s="23"/>
      <c r="L45" s="24">
        <v>3000</v>
      </c>
      <c r="M45" s="12">
        <f t="shared" si="1"/>
        <v>914.40000000000009</v>
      </c>
      <c r="N45" s="14">
        <v>0.88</v>
      </c>
      <c r="O45" s="14">
        <v>2.8871391076115485</v>
      </c>
      <c r="P45" s="15"/>
      <c r="Q45" s="16">
        <f t="shared" si="2"/>
        <v>0</v>
      </c>
      <c r="R45" s="16">
        <f t="shared" si="3"/>
        <v>0</v>
      </c>
      <c r="S45" s="17">
        <f t="shared" si="4"/>
        <v>0</v>
      </c>
    </row>
    <row r="46" spans="1:19">
      <c r="A46" s="27">
        <f t="shared" si="0"/>
        <v>41</v>
      </c>
      <c r="B46" s="27" t="s">
        <v>23</v>
      </c>
      <c r="C46" s="27"/>
      <c r="D46" s="27" t="s">
        <v>129</v>
      </c>
      <c r="E46" s="27" t="s">
        <v>129</v>
      </c>
      <c r="F46" s="28" t="s">
        <v>130</v>
      </c>
      <c r="G46" s="27"/>
      <c r="H46" s="23">
        <v>180</v>
      </c>
      <c r="I46" s="23">
        <v>590</v>
      </c>
      <c r="J46" s="23"/>
      <c r="K46" s="23"/>
      <c r="L46" s="24">
        <v>3000</v>
      </c>
      <c r="M46" s="12">
        <f t="shared" si="1"/>
        <v>914.40000000000009</v>
      </c>
      <c r="N46" s="14">
        <v>1.32</v>
      </c>
      <c r="O46" s="14">
        <v>4.3307086614173231</v>
      </c>
      <c r="P46" s="15"/>
      <c r="Q46" s="16">
        <f t="shared" si="2"/>
        <v>0</v>
      </c>
      <c r="R46" s="16">
        <f t="shared" si="3"/>
        <v>0</v>
      </c>
      <c r="S46" s="17">
        <f t="shared" si="4"/>
        <v>0</v>
      </c>
    </row>
    <row r="47" spans="1:19">
      <c r="A47" s="27">
        <f t="shared" si="0"/>
        <v>42</v>
      </c>
      <c r="B47" s="27" t="s">
        <v>23</v>
      </c>
      <c r="C47" s="27"/>
      <c r="D47" s="27" t="s">
        <v>131</v>
      </c>
      <c r="E47" s="27" t="s">
        <v>131</v>
      </c>
      <c r="F47" s="28" t="s">
        <v>132</v>
      </c>
      <c r="G47" s="27"/>
      <c r="H47" s="23">
        <v>120</v>
      </c>
      <c r="I47" s="23">
        <v>393</v>
      </c>
      <c r="J47" s="29"/>
      <c r="K47" s="29"/>
      <c r="L47" s="30">
        <v>3000</v>
      </c>
      <c r="M47" s="12">
        <f t="shared" si="1"/>
        <v>914.40000000000009</v>
      </c>
      <c r="N47" s="14">
        <v>1.4933333333333334</v>
      </c>
      <c r="O47" s="14">
        <v>4.8993875765529307</v>
      </c>
      <c r="P47" s="15"/>
      <c r="Q47" s="16">
        <f t="shared" si="2"/>
        <v>0</v>
      </c>
      <c r="R47" s="16">
        <f t="shared" si="3"/>
        <v>0</v>
      </c>
      <c r="S47" s="17">
        <f t="shared" si="4"/>
        <v>0</v>
      </c>
    </row>
    <row r="48" spans="1:19">
      <c r="A48" s="27">
        <f t="shared" si="0"/>
        <v>43</v>
      </c>
      <c r="B48" s="27" t="s">
        <v>23</v>
      </c>
      <c r="C48" s="27"/>
      <c r="D48" s="27" t="s">
        <v>133</v>
      </c>
      <c r="E48" s="27" t="s">
        <v>133</v>
      </c>
      <c r="F48" s="28" t="s">
        <v>134</v>
      </c>
      <c r="G48" s="27"/>
      <c r="H48" s="23">
        <v>75</v>
      </c>
      <c r="I48" s="23">
        <v>246</v>
      </c>
      <c r="J48" s="23"/>
      <c r="K48" s="23"/>
      <c r="L48" s="24">
        <v>3000</v>
      </c>
      <c r="M48" s="12">
        <f t="shared" si="1"/>
        <v>914.40000000000009</v>
      </c>
      <c r="N48" s="14">
        <v>2.1733333333333333</v>
      </c>
      <c r="O48" s="14">
        <v>7.1303587051618544</v>
      </c>
      <c r="P48" s="15"/>
      <c r="Q48" s="16">
        <f t="shared" si="2"/>
        <v>0</v>
      </c>
      <c r="R48" s="16">
        <f t="shared" si="3"/>
        <v>0</v>
      </c>
      <c r="S48" s="17">
        <f t="shared" si="4"/>
        <v>0</v>
      </c>
    </row>
    <row r="49" spans="1:19">
      <c r="A49" s="31">
        <f t="shared" si="0"/>
        <v>44</v>
      </c>
      <c r="B49" s="31" t="s">
        <v>23</v>
      </c>
      <c r="C49" s="31" t="s">
        <v>135</v>
      </c>
      <c r="D49" s="31" t="s">
        <v>136</v>
      </c>
      <c r="E49" s="31" t="s">
        <v>136</v>
      </c>
      <c r="F49" s="32" t="s">
        <v>137</v>
      </c>
      <c r="G49" s="31">
        <v>1.25</v>
      </c>
      <c r="H49" s="23"/>
      <c r="I49" s="23">
        <v>2787</v>
      </c>
      <c r="J49" s="23"/>
      <c r="K49" s="23" t="s">
        <v>138</v>
      </c>
      <c r="L49" s="24">
        <v>1200</v>
      </c>
      <c r="M49" s="12">
        <f t="shared" si="1"/>
        <v>365.76</v>
      </c>
      <c r="N49" s="14">
        <v>1.74390243902439</v>
      </c>
      <c r="O49" s="14">
        <v>5.7214646949619095</v>
      </c>
      <c r="P49" s="15"/>
      <c r="Q49" s="16">
        <f t="shared" si="2"/>
        <v>0</v>
      </c>
      <c r="R49" s="16">
        <f t="shared" si="3"/>
        <v>0</v>
      </c>
      <c r="S49" s="17">
        <f t="shared" si="4"/>
        <v>0</v>
      </c>
    </row>
    <row r="50" spans="1:19">
      <c r="A50" s="31">
        <f t="shared" si="0"/>
        <v>45</v>
      </c>
      <c r="B50" s="31" t="s">
        <v>23</v>
      </c>
      <c r="C50" s="31" t="s">
        <v>139</v>
      </c>
      <c r="D50" s="31" t="s">
        <v>140</v>
      </c>
      <c r="E50" s="31" t="s">
        <v>140</v>
      </c>
      <c r="F50" s="32" t="s">
        <v>141</v>
      </c>
      <c r="G50" s="31">
        <v>1.25</v>
      </c>
      <c r="H50" s="23"/>
      <c r="I50" s="23">
        <v>2131</v>
      </c>
      <c r="J50" s="23"/>
      <c r="K50" s="23" t="s">
        <v>138</v>
      </c>
      <c r="L50" s="24">
        <v>1200</v>
      </c>
      <c r="M50" s="12">
        <f t="shared" si="1"/>
        <v>365.76</v>
      </c>
      <c r="N50" s="14">
        <v>1.975609756097561</v>
      </c>
      <c r="O50" s="14">
        <v>6.4816593047820241</v>
      </c>
      <c r="P50" s="15"/>
      <c r="Q50" s="16">
        <f t="shared" si="2"/>
        <v>0</v>
      </c>
      <c r="R50" s="16">
        <f t="shared" si="3"/>
        <v>0</v>
      </c>
      <c r="S50" s="17">
        <f t="shared" si="4"/>
        <v>0</v>
      </c>
    </row>
    <row r="51" spans="1:19">
      <c r="A51" s="31">
        <f t="shared" si="0"/>
        <v>46</v>
      </c>
      <c r="B51" s="31" t="s">
        <v>23</v>
      </c>
      <c r="C51" s="31" t="s">
        <v>142</v>
      </c>
      <c r="D51" s="31" t="s">
        <v>143</v>
      </c>
      <c r="E51" s="31" t="s">
        <v>143</v>
      </c>
      <c r="F51" s="32" t="s">
        <v>144</v>
      </c>
      <c r="G51" s="31">
        <v>1.25</v>
      </c>
      <c r="H51" s="23"/>
      <c r="I51" s="23">
        <v>1475</v>
      </c>
      <c r="J51" s="23"/>
      <c r="K51" s="23" t="s">
        <v>138</v>
      </c>
      <c r="L51" s="24">
        <v>1200</v>
      </c>
      <c r="M51" s="12">
        <f t="shared" si="1"/>
        <v>365.76</v>
      </c>
      <c r="N51" s="14">
        <v>2.2073170731707314</v>
      </c>
      <c r="O51" s="14">
        <v>7.241853914602137</v>
      </c>
      <c r="P51" s="15"/>
      <c r="Q51" s="16">
        <f t="shared" si="2"/>
        <v>0</v>
      </c>
      <c r="R51" s="16">
        <f t="shared" si="3"/>
        <v>0</v>
      </c>
      <c r="S51" s="17">
        <f t="shared" si="4"/>
        <v>0</v>
      </c>
    </row>
    <row r="52" spans="1:19">
      <c r="A52" s="31">
        <f t="shared" si="0"/>
        <v>47</v>
      </c>
      <c r="B52" s="31" t="s">
        <v>23</v>
      </c>
      <c r="C52" s="31" t="s">
        <v>145</v>
      </c>
      <c r="D52" s="31" t="s">
        <v>146</v>
      </c>
      <c r="E52" s="31" t="s">
        <v>146</v>
      </c>
      <c r="F52" s="32" t="s">
        <v>147</v>
      </c>
      <c r="G52" s="31">
        <v>1.25</v>
      </c>
      <c r="H52" s="23"/>
      <c r="I52" s="23">
        <v>1311</v>
      </c>
      <c r="J52" s="23"/>
      <c r="K52" s="23" t="s">
        <v>138</v>
      </c>
      <c r="L52" s="24">
        <v>1200</v>
      </c>
      <c r="M52" s="12">
        <f t="shared" si="1"/>
        <v>365.76</v>
      </c>
      <c r="N52" s="14">
        <v>2.74390243902439</v>
      </c>
      <c r="O52" s="14">
        <v>9.0023045899750329</v>
      </c>
      <c r="P52" s="15"/>
      <c r="Q52" s="16">
        <f t="shared" si="2"/>
        <v>0</v>
      </c>
      <c r="R52" s="16">
        <f t="shared" si="3"/>
        <v>0</v>
      </c>
      <c r="S52" s="17">
        <f t="shared" si="4"/>
        <v>0</v>
      </c>
    </row>
    <row r="53" spans="1:19">
      <c r="A53" s="31">
        <f t="shared" si="0"/>
        <v>48</v>
      </c>
      <c r="B53" s="31" t="s">
        <v>23</v>
      </c>
      <c r="C53" s="31" t="s">
        <v>148</v>
      </c>
      <c r="D53" s="31" t="s">
        <v>149</v>
      </c>
      <c r="E53" s="31" t="s">
        <v>149</v>
      </c>
      <c r="F53" s="32" t="s">
        <v>150</v>
      </c>
      <c r="G53" s="31">
        <v>1.25</v>
      </c>
      <c r="H53" s="23"/>
      <c r="I53" s="23">
        <v>984</v>
      </c>
      <c r="J53" s="23"/>
      <c r="K53" s="23" t="s">
        <v>138</v>
      </c>
      <c r="L53" s="24">
        <v>1200</v>
      </c>
      <c r="M53" s="12">
        <f t="shared" si="1"/>
        <v>365.76</v>
      </c>
      <c r="N53" s="14">
        <v>3.463414634146341</v>
      </c>
      <c r="O53" s="14">
        <v>11.362908904679596</v>
      </c>
      <c r="P53" s="15"/>
      <c r="Q53" s="16">
        <f t="shared" si="2"/>
        <v>0</v>
      </c>
      <c r="R53" s="16">
        <f t="shared" si="3"/>
        <v>0</v>
      </c>
      <c r="S53" s="17">
        <f t="shared" si="4"/>
        <v>0</v>
      </c>
    </row>
    <row r="54" spans="1:19">
      <c r="A54" s="31">
        <f t="shared" si="0"/>
        <v>49</v>
      </c>
      <c r="B54" s="31" t="s">
        <v>23</v>
      </c>
      <c r="C54" s="31" t="s">
        <v>151</v>
      </c>
      <c r="D54" s="31" t="s">
        <v>152</v>
      </c>
      <c r="E54" s="31" t="s">
        <v>152</v>
      </c>
      <c r="F54" s="32" t="s">
        <v>153</v>
      </c>
      <c r="G54" s="31">
        <v>1.25</v>
      </c>
      <c r="H54" s="23"/>
      <c r="I54" s="23">
        <v>600</v>
      </c>
      <c r="J54" s="23"/>
      <c r="K54" s="23" t="s">
        <v>138</v>
      </c>
      <c r="L54" s="24">
        <v>1200</v>
      </c>
      <c r="M54" s="12">
        <f t="shared" si="1"/>
        <v>365.76</v>
      </c>
      <c r="N54" s="14">
        <v>4.475609756097561</v>
      </c>
      <c r="O54" s="14">
        <v>14.683759042314831</v>
      </c>
      <c r="P54" s="15"/>
      <c r="Q54" s="16">
        <f t="shared" si="2"/>
        <v>0</v>
      </c>
      <c r="R54" s="16">
        <f t="shared" si="3"/>
        <v>0</v>
      </c>
      <c r="S54" s="17">
        <f t="shared" si="4"/>
        <v>0</v>
      </c>
    </row>
    <row r="55" spans="1:19">
      <c r="A55" s="31">
        <f t="shared" si="0"/>
        <v>50</v>
      </c>
      <c r="B55" s="31" t="s">
        <v>23</v>
      </c>
      <c r="C55" s="31" t="s">
        <v>154</v>
      </c>
      <c r="D55" s="31" t="s">
        <v>155</v>
      </c>
      <c r="E55" s="31" t="s">
        <v>155</v>
      </c>
      <c r="F55" s="32" t="s">
        <v>156</v>
      </c>
      <c r="G55" s="31">
        <v>1.25</v>
      </c>
      <c r="H55" s="23"/>
      <c r="I55" s="23">
        <v>400</v>
      </c>
      <c r="J55" s="23"/>
      <c r="K55" s="23" t="s">
        <v>157</v>
      </c>
      <c r="L55" s="24">
        <v>1200</v>
      </c>
      <c r="M55" s="12">
        <f t="shared" si="1"/>
        <v>365.76</v>
      </c>
      <c r="N55" s="14">
        <v>5.451219512195121</v>
      </c>
      <c r="O55" s="14">
        <v>17.88457845208373</v>
      </c>
      <c r="P55" s="15"/>
      <c r="Q55" s="16">
        <f t="shared" si="2"/>
        <v>0</v>
      </c>
      <c r="R55" s="16">
        <f t="shared" si="3"/>
        <v>0</v>
      </c>
      <c r="S55" s="17">
        <f t="shared" si="4"/>
        <v>0</v>
      </c>
    </row>
    <row r="56" spans="1:19">
      <c r="A56" s="31">
        <f t="shared" si="0"/>
        <v>51</v>
      </c>
      <c r="B56" s="31" t="s">
        <v>23</v>
      </c>
      <c r="C56" s="31" t="s">
        <v>158</v>
      </c>
      <c r="D56" s="31" t="s">
        <v>159</v>
      </c>
      <c r="E56" s="31" t="s">
        <v>159</v>
      </c>
      <c r="F56" s="32" t="s">
        <v>160</v>
      </c>
      <c r="G56" s="31">
        <v>1.25</v>
      </c>
      <c r="H56" s="23"/>
      <c r="I56" s="23">
        <v>400</v>
      </c>
      <c r="J56" s="23"/>
      <c r="K56" s="23" t="s">
        <v>157</v>
      </c>
      <c r="L56" s="24">
        <v>1200</v>
      </c>
      <c r="M56" s="12">
        <f t="shared" si="1"/>
        <v>365.76</v>
      </c>
      <c r="N56" s="14">
        <v>7.7721518987341769</v>
      </c>
      <c r="O56" s="14">
        <v>25.499186019469082</v>
      </c>
      <c r="P56" s="15"/>
      <c r="Q56" s="16">
        <f t="shared" si="2"/>
        <v>0</v>
      </c>
      <c r="R56" s="16">
        <f t="shared" si="3"/>
        <v>0</v>
      </c>
      <c r="S56" s="17">
        <f t="shared" si="4"/>
        <v>0</v>
      </c>
    </row>
    <row r="57" spans="1:19">
      <c r="A57" s="33">
        <f t="shared" si="0"/>
        <v>52</v>
      </c>
      <c r="B57" s="33" t="s">
        <v>23</v>
      </c>
      <c r="C57" s="33" t="s">
        <v>161</v>
      </c>
      <c r="D57" s="33" t="s">
        <v>162</v>
      </c>
      <c r="E57" s="33" t="s">
        <v>162</v>
      </c>
      <c r="F57" s="34" t="s">
        <v>163</v>
      </c>
      <c r="G57" s="33">
        <v>1.25</v>
      </c>
      <c r="H57" s="23"/>
      <c r="I57" s="23">
        <v>1148</v>
      </c>
      <c r="J57" s="23"/>
      <c r="K57" s="23" t="s">
        <v>138</v>
      </c>
      <c r="L57" s="24">
        <v>1200</v>
      </c>
      <c r="M57" s="12">
        <f t="shared" si="1"/>
        <v>365.76</v>
      </c>
      <c r="N57" s="14">
        <v>3.2317073170731705</v>
      </c>
      <c r="O57" s="14">
        <v>10.602714294859483</v>
      </c>
      <c r="P57" s="15"/>
      <c r="Q57" s="16">
        <f t="shared" si="2"/>
        <v>0</v>
      </c>
      <c r="R57" s="16">
        <f t="shared" si="3"/>
        <v>0</v>
      </c>
      <c r="S57" s="17">
        <f t="shared" si="4"/>
        <v>0</v>
      </c>
    </row>
    <row r="58" spans="1:19">
      <c r="A58" s="33">
        <f t="shared" si="0"/>
        <v>53</v>
      </c>
      <c r="B58" s="33" t="s">
        <v>23</v>
      </c>
      <c r="C58" s="33" t="s">
        <v>164</v>
      </c>
      <c r="D58" s="33" t="s">
        <v>165</v>
      </c>
      <c r="E58" s="33" t="s">
        <v>165</v>
      </c>
      <c r="F58" s="34" t="s">
        <v>166</v>
      </c>
      <c r="G58" s="33">
        <v>1.25</v>
      </c>
      <c r="H58" s="23"/>
      <c r="I58" s="23">
        <v>984</v>
      </c>
      <c r="J58" s="23"/>
      <c r="K58" s="23" t="s">
        <v>138</v>
      </c>
      <c r="L58" s="24">
        <v>1200</v>
      </c>
      <c r="M58" s="12">
        <f t="shared" si="1"/>
        <v>365.76</v>
      </c>
      <c r="N58" s="14">
        <v>4.2317073170731705</v>
      </c>
      <c r="O58" s="14">
        <v>13.883554189872607</v>
      </c>
      <c r="P58" s="15"/>
      <c r="Q58" s="16">
        <f t="shared" si="2"/>
        <v>0</v>
      </c>
      <c r="R58" s="16">
        <f t="shared" si="3"/>
        <v>0</v>
      </c>
      <c r="S58" s="17">
        <f t="shared" si="4"/>
        <v>0</v>
      </c>
    </row>
    <row r="59" spans="1:19">
      <c r="A59" s="33">
        <f t="shared" si="0"/>
        <v>54</v>
      </c>
      <c r="B59" s="33" t="s">
        <v>23</v>
      </c>
      <c r="C59" s="33" t="s">
        <v>167</v>
      </c>
      <c r="D59" s="33" t="s">
        <v>168</v>
      </c>
      <c r="E59" s="33" t="s">
        <v>168</v>
      </c>
      <c r="F59" s="34" t="s">
        <v>169</v>
      </c>
      <c r="G59" s="33">
        <v>1.25</v>
      </c>
      <c r="H59" s="23"/>
      <c r="I59" s="23">
        <v>600</v>
      </c>
      <c r="J59" s="23"/>
      <c r="K59" s="23" t="s">
        <v>138</v>
      </c>
      <c r="L59" s="24">
        <v>1200</v>
      </c>
      <c r="M59" s="12">
        <f t="shared" si="1"/>
        <v>365.76</v>
      </c>
      <c r="N59" s="14">
        <v>5.84</v>
      </c>
      <c r="O59" s="14">
        <v>19.16010498687664</v>
      </c>
      <c r="P59" s="15"/>
      <c r="Q59" s="16">
        <f t="shared" si="2"/>
        <v>0</v>
      </c>
      <c r="R59" s="16">
        <f t="shared" si="3"/>
        <v>0</v>
      </c>
      <c r="S59" s="17">
        <f t="shared" si="4"/>
        <v>0</v>
      </c>
    </row>
    <row r="60" spans="1:19">
      <c r="A60" s="33">
        <f t="shared" si="0"/>
        <v>55</v>
      </c>
      <c r="B60" s="33" t="s">
        <v>23</v>
      </c>
      <c r="C60" s="33" t="s">
        <v>170</v>
      </c>
      <c r="D60" s="33" t="s">
        <v>171</v>
      </c>
      <c r="E60" s="33" t="s">
        <v>171</v>
      </c>
      <c r="F60" s="34" t="s">
        <v>172</v>
      </c>
      <c r="G60" s="33">
        <v>1.25</v>
      </c>
      <c r="H60" s="23"/>
      <c r="I60" s="23">
        <v>400</v>
      </c>
      <c r="J60" s="23"/>
      <c r="K60" s="23" t="s">
        <v>157</v>
      </c>
      <c r="L60" s="24">
        <v>1200</v>
      </c>
      <c r="M60" s="12">
        <f t="shared" si="1"/>
        <v>365.76</v>
      </c>
      <c r="N60" s="14">
        <v>7.3599999999999994</v>
      </c>
      <c r="O60" s="14">
        <v>24.146981627296586</v>
      </c>
      <c r="P60" s="15"/>
      <c r="Q60" s="16">
        <f t="shared" si="2"/>
        <v>0</v>
      </c>
      <c r="R60" s="16">
        <f t="shared" si="3"/>
        <v>0</v>
      </c>
      <c r="S60" s="17">
        <f t="shared" si="4"/>
        <v>0</v>
      </c>
    </row>
    <row r="61" spans="1:19">
      <c r="A61" s="33">
        <f t="shared" si="0"/>
        <v>56</v>
      </c>
      <c r="B61" s="33" t="s">
        <v>23</v>
      </c>
      <c r="C61" s="33" t="s">
        <v>173</v>
      </c>
      <c r="D61" s="33" t="s">
        <v>174</v>
      </c>
      <c r="E61" s="33" t="s">
        <v>174</v>
      </c>
      <c r="F61" s="34" t="s">
        <v>175</v>
      </c>
      <c r="G61" s="33">
        <v>1.25</v>
      </c>
      <c r="H61" s="23"/>
      <c r="I61" s="23">
        <v>400</v>
      </c>
      <c r="J61" s="23"/>
      <c r="K61" s="23" t="s">
        <v>157</v>
      </c>
      <c r="L61" s="24">
        <v>1200</v>
      </c>
      <c r="M61" s="12">
        <f t="shared" si="1"/>
        <v>365.76</v>
      </c>
      <c r="N61" s="14">
        <v>9.92</v>
      </c>
      <c r="O61" s="14">
        <v>32.54593175853018</v>
      </c>
      <c r="P61" s="15"/>
      <c r="Q61" s="16">
        <f t="shared" si="2"/>
        <v>0</v>
      </c>
      <c r="R61" s="16">
        <f t="shared" si="3"/>
        <v>0</v>
      </c>
      <c r="S61" s="17">
        <f t="shared" si="4"/>
        <v>0</v>
      </c>
    </row>
    <row r="62" spans="1:19">
      <c r="A62" s="35">
        <f t="shared" si="0"/>
        <v>57</v>
      </c>
      <c r="B62" s="35" t="s">
        <v>23</v>
      </c>
      <c r="C62" s="35" t="s">
        <v>176</v>
      </c>
      <c r="D62" s="35" t="s">
        <v>177</v>
      </c>
      <c r="E62" s="35" t="s">
        <v>177</v>
      </c>
      <c r="F62" s="36" t="s">
        <v>178</v>
      </c>
      <c r="G62" s="35">
        <v>1.25</v>
      </c>
      <c r="H62" s="23">
        <v>400</v>
      </c>
      <c r="I62" s="23">
        <f>H62/0.3048</f>
        <v>1312.3359580052493</v>
      </c>
      <c r="J62" s="23"/>
      <c r="K62" s="23"/>
      <c r="L62" s="24">
        <v>1200</v>
      </c>
      <c r="M62" s="12">
        <f t="shared" si="1"/>
        <v>365.76</v>
      </c>
      <c r="N62" s="14">
        <v>3.6666666666666665</v>
      </c>
      <c r="O62" s="14">
        <v>12.029746281714784</v>
      </c>
      <c r="P62" s="15"/>
      <c r="Q62" s="16">
        <f t="shared" si="2"/>
        <v>0</v>
      </c>
      <c r="R62" s="16">
        <f t="shared" si="3"/>
        <v>0</v>
      </c>
      <c r="S62" s="17">
        <f t="shared" si="4"/>
        <v>0</v>
      </c>
    </row>
    <row r="63" spans="1:19">
      <c r="A63" s="35">
        <f t="shared" si="0"/>
        <v>58</v>
      </c>
      <c r="B63" s="35" t="s">
        <v>23</v>
      </c>
      <c r="C63" s="35" t="s">
        <v>179</v>
      </c>
      <c r="D63" s="35" t="s">
        <v>180</v>
      </c>
      <c r="E63" s="35" t="s">
        <v>180</v>
      </c>
      <c r="F63" s="36" t="s">
        <v>181</v>
      </c>
      <c r="G63" s="35">
        <v>1.25</v>
      </c>
      <c r="H63" s="23">
        <v>300</v>
      </c>
      <c r="I63" s="23">
        <f t="shared" ref="I63:I88" si="5">H63/0.3048</f>
        <v>984.25196850393695</v>
      </c>
      <c r="J63" s="23"/>
      <c r="K63" s="23"/>
      <c r="L63" s="24">
        <v>1200</v>
      </c>
      <c r="M63" s="12">
        <f t="shared" si="1"/>
        <v>365.76</v>
      </c>
      <c r="N63" s="14">
        <v>4.9066666666666672</v>
      </c>
      <c r="O63" s="14">
        <v>16.097987751531061</v>
      </c>
      <c r="P63" s="15"/>
      <c r="Q63" s="16">
        <f t="shared" si="2"/>
        <v>0</v>
      </c>
      <c r="R63" s="16">
        <f t="shared" si="3"/>
        <v>0</v>
      </c>
      <c r="S63" s="17">
        <f t="shared" si="4"/>
        <v>0</v>
      </c>
    </row>
    <row r="64" spans="1:19">
      <c r="A64" s="35">
        <f t="shared" si="0"/>
        <v>59</v>
      </c>
      <c r="B64" s="35" t="s">
        <v>23</v>
      </c>
      <c r="C64" s="35" t="s">
        <v>182</v>
      </c>
      <c r="D64" s="35" t="s">
        <v>183</v>
      </c>
      <c r="E64" s="35" t="s">
        <v>183</v>
      </c>
      <c r="F64" s="36" t="s">
        <v>184</v>
      </c>
      <c r="G64" s="35">
        <v>1.25</v>
      </c>
      <c r="H64" s="23">
        <v>184</v>
      </c>
      <c r="I64" s="23">
        <f t="shared" si="5"/>
        <v>603.67454068241466</v>
      </c>
      <c r="J64" s="23"/>
      <c r="K64" s="23"/>
      <c r="L64" s="24">
        <v>1200</v>
      </c>
      <c r="M64" s="12">
        <f t="shared" si="1"/>
        <v>365.76</v>
      </c>
      <c r="N64" s="14">
        <v>5.72</v>
      </c>
      <c r="O64" s="14">
        <v>18.766404199475065</v>
      </c>
      <c r="P64" s="15"/>
      <c r="Q64" s="16">
        <f t="shared" si="2"/>
        <v>0</v>
      </c>
      <c r="R64" s="16">
        <f t="shared" si="3"/>
        <v>0</v>
      </c>
      <c r="S64" s="17">
        <f t="shared" si="4"/>
        <v>0</v>
      </c>
    </row>
    <row r="65" spans="1:19">
      <c r="A65" s="35">
        <f t="shared" si="0"/>
        <v>60</v>
      </c>
      <c r="B65" s="35" t="s">
        <v>23</v>
      </c>
      <c r="C65" s="35"/>
      <c r="D65" s="35" t="s">
        <v>185</v>
      </c>
      <c r="E65" s="35" t="s">
        <v>185</v>
      </c>
      <c r="F65" s="36" t="s">
        <v>186</v>
      </c>
      <c r="G65" s="35">
        <v>1.25</v>
      </c>
      <c r="H65" s="23">
        <v>138</v>
      </c>
      <c r="I65" s="23">
        <f t="shared" si="5"/>
        <v>452.75590551181102</v>
      </c>
      <c r="J65" s="23"/>
      <c r="K65" s="23"/>
      <c r="L65" s="24">
        <v>1200</v>
      </c>
      <c r="M65" s="12">
        <f t="shared" si="1"/>
        <v>365.76</v>
      </c>
      <c r="N65" s="14">
        <v>7.2266666666666666</v>
      </c>
      <c r="O65" s="14">
        <v>23.709536307961503</v>
      </c>
      <c r="P65" s="15"/>
      <c r="Q65" s="16">
        <f t="shared" si="2"/>
        <v>0</v>
      </c>
      <c r="R65" s="16">
        <f t="shared" si="3"/>
        <v>0</v>
      </c>
      <c r="S65" s="17">
        <f t="shared" si="4"/>
        <v>0</v>
      </c>
    </row>
    <row r="66" spans="1:19">
      <c r="A66" s="35">
        <f t="shared" si="0"/>
        <v>61</v>
      </c>
      <c r="B66" s="35" t="s">
        <v>23</v>
      </c>
      <c r="C66" s="35"/>
      <c r="D66" s="35" t="s">
        <v>187</v>
      </c>
      <c r="E66" s="35" t="s">
        <v>187</v>
      </c>
      <c r="F66" s="36" t="s">
        <v>188</v>
      </c>
      <c r="G66" s="35">
        <v>1.25</v>
      </c>
      <c r="H66" s="23">
        <v>100</v>
      </c>
      <c r="I66" s="23">
        <f t="shared" si="5"/>
        <v>328.08398950131232</v>
      </c>
      <c r="J66" s="23"/>
      <c r="K66" s="23"/>
      <c r="L66" s="24">
        <v>1200</v>
      </c>
      <c r="M66" s="12">
        <f t="shared" si="1"/>
        <v>365.76</v>
      </c>
      <c r="N66" s="14">
        <v>9.7333333333333325</v>
      </c>
      <c r="O66" s="14">
        <v>31.933508311461065</v>
      </c>
      <c r="P66" s="15"/>
      <c r="Q66" s="16">
        <f t="shared" si="2"/>
        <v>0</v>
      </c>
      <c r="R66" s="16">
        <f t="shared" si="3"/>
        <v>0</v>
      </c>
      <c r="S66" s="17">
        <f t="shared" si="4"/>
        <v>0</v>
      </c>
    </row>
    <row r="67" spans="1:19">
      <c r="A67" s="37">
        <f t="shared" si="0"/>
        <v>62</v>
      </c>
      <c r="B67" s="37" t="s">
        <v>23</v>
      </c>
      <c r="C67" s="37"/>
      <c r="D67" s="37" t="s">
        <v>189</v>
      </c>
      <c r="E67" s="37" t="s">
        <v>189</v>
      </c>
      <c r="F67" s="38" t="s">
        <v>190</v>
      </c>
      <c r="G67" s="37">
        <v>1.25</v>
      </c>
      <c r="H67" s="23"/>
      <c r="I67" s="23"/>
      <c r="J67" s="23"/>
      <c r="K67" s="23"/>
      <c r="L67" s="24">
        <v>1200</v>
      </c>
      <c r="M67" s="12">
        <f t="shared" si="1"/>
        <v>365.76</v>
      </c>
      <c r="N67" s="14">
        <v>6.2666666666666666</v>
      </c>
      <c r="O67" s="14">
        <v>20.559930008748903</v>
      </c>
      <c r="P67" s="15"/>
      <c r="Q67" s="16">
        <f t="shared" si="2"/>
        <v>0</v>
      </c>
      <c r="R67" s="16">
        <f t="shared" si="3"/>
        <v>0</v>
      </c>
      <c r="S67" s="17">
        <f t="shared" si="4"/>
        <v>0</v>
      </c>
    </row>
    <row r="68" spans="1:19">
      <c r="A68" s="37">
        <f t="shared" si="0"/>
        <v>63</v>
      </c>
      <c r="B68" s="37" t="s">
        <v>23</v>
      </c>
      <c r="C68" s="37"/>
      <c r="D68" s="37" t="s">
        <v>191</v>
      </c>
      <c r="E68" s="37" t="s">
        <v>191</v>
      </c>
      <c r="F68" s="38" t="s">
        <v>192</v>
      </c>
      <c r="G68" s="37">
        <v>1.25</v>
      </c>
      <c r="H68" s="23"/>
      <c r="I68" s="23"/>
      <c r="J68" s="23"/>
      <c r="K68" s="23"/>
      <c r="L68" s="24">
        <v>1200</v>
      </c>
      <c r="M68" s="12">
        <f t="shared" si="1"/>
        <v>365.76</v>
      </c>
      <c r="N68" s="14">
        <v>8.1866666666666656</v>
      </c>
      <c r="O68" s="14">
        <v>26.8591426071741</v>
      </c>
      <c r="P68" s="15"/>
      <c r="Q68" s="16">
        <f t="shared" si="2"/>
        <v>0</v>
      </c>
      <c r="R68" s="16">
        <f t="shared" si="3"/>
        <v>0</v>
      </c>
      <c r="S68" s="17">
        <f t="shared" si="4"/>
        <v>0</v>
      </c>
    </row>
    <row r="69" spans="1:19">
      <c r="A69" s="37">
        <f t="shared" si="0"/>
        <v>64</v>
      </c>
      <c r="B69" s="37" t="s">
        <v>23</v>
      </c>
      <c r="C69" s="37"/>
      <c r="D69" s="37" t="s">
        <v>193</v>
      </c>
      <c r="E69" s="37" t="s">
        <v>193</v>
      </c>
      <c r="F69" s="38" t="s">
        <v>194</v>
      </c>
      <c r="G69" s="37">
        <v>1.25</v>
      </c>
      <c r="H69" s="23"/>
      <c r="I69" s="23"/>
      <c r="J69" s="23"/>
      <c r="K69" s="23"/>
      <c r="L69" s="24">
        <v>1200</v>
      </c>
      <c r="M69" s="12">
        <f t="shared" si="1"/>
        <v>365.76</v>
      </c>
      <c r="N69" s="14">
        <v>8.9066666666666663</v>
      </c>
      <c r="O69" s="14">
        <v>29.221347331583548</v>
      </c>
      <c r="P69" s="15"/>
      <c r="Q69" s="16">
        <f t="shared" si="2"/>
        <v>0</v>
      </c>
      <c r="R69" s="16">
        <f t="shared" si="3"/>
        <v>0</v>
      </c>
      <c r="S69" s="17">
        <f t="shared" si="4"/>
        <v>0</v>
      </c>
    </row>
    <row r="70" spans="1:19">
      <c r="A70" s="37">
        <f t="shared" si="0"/>
        <v>65</v>
      </c>
      <c r="B70" s="37" t="s">
        <v>23</v>
      </c>
      <c r="C70" s="37"/>
      <c r="D70" s="37" t="s">
        <v>195</v>
      </c>
      <c r="E70" s="37" t="s">
        <v>195</v>
      </c>
      <c r="F70" s="38" t="s">
        <v>196</v>
      </c>
      <c r="G70" s="37">
        <v>1.25</v>
      </c>
      <c r="H70" s="23"/>
      <c r="I70" s="23"/>
      <c r="J70" s="23"/>
      <c r="K70" s="23"/>
      <c r="L70" s="24">
        <v>1200</v>
      </c>
      <c r="M70" s="12">
        <f t="shared" si="1"/>
        <v>365.76</v>
      </c>
      <c r="N70" s="14">
        <v>13.56</v>
      </c>
      <c r="O70" s="14">
        <v>44.488188976377955</v>
      </c>
      <c r="P70" s="15"/>
      <c r="Q70" s="16">
        <f t="shared" si="2"/>
        <v>0</v>
      </c>
      <c r="R70" s="16">
        <f t="shared" si="3"/>
        <v>0</v>
      </c>
      <c r="S70" s="17">
        <f t="shared" si="4"/>
        <v>0</v>
      </c>
    </row>
    <row r="71" spans="1:19">
      <c r="A71" s="37">
        <f t="shared" ref="A71:A85" si="6">A70+1</f>
        <v>66</v>
      </c>
      <c r="B71" s="37" t="s">
        <v>23</v>
      </c>
      <c r="C71" s="37" t="s">
        <v>197</v>
      </c>
      <c r="D71" s="37" t="s">
        <v>198</v>
      </c>
      <c r="E71" s="37" t="s">
        <v>198</v>
      </c>
      <c r="F71" s="38" t="s">
        <v>199</v>
      </c>
      <c r="G71" s="37">
        <v>1.25</v>
      </c>
      <c r="H71" s="23"/>
      <c r="I71" s="23"/>
      <c r="J71" s="23"/>
      <c r="K71" s="23"/>
      <c r="L71" s="24">
        <v>1200</v>
      </c>
      <c r="M71" s="12">
        <f t="shared" ref="M71:M100" si="7">L71*0.3048</f>
        <v>365.76</v>
      </c>
      <c r="N71" s="14">
        <v>3.5733333333333337</v>
      </c>
      <c r="O71" s="14">
        <v>11.723534558180228</v>
      </c>
      <c r="P71" s="15"/>
      <c r="Q71" s="16">
        <f t="shared" ref="Q71:Q100" si="8">P71*I71</f>
        <v>0</v>
      </c>
      <c r="R71" s="16">
        <f t="shared" ref="R71:R100" si="9">P71*I71</f>
        <v>0</v>
      </c>
      <c r="S71" s="17">
        <f t="shared" ref="S71:S100" si="10">Q71*N71</f>
        <v>0</v>
      </c>
    </row>
    <row r="72" spans="1:19">
      <c r="A72" s="37">
        <f t="shared" si="6"/>
        <v>67</v>
      </c>
      <c r="B72" s="37" t="s">
        <v>23</v>
      </c>
      <c r="C72" s="37" t="s">
        <v>200</v>
      </c>
      <c r="D72" s="37" t="s">
        <v>201</v>
      </c>
      <c r="E72" s="37" t="s">
        <v>202</v>
      </c>
      <c r="F72" s="38" t="s">
        <v>203</v>
      </c>
      <c r="G72" s="37">
        <v>1.25</v>
      </c>
      <c r="H72" s="23"/>
      <c r="I72" s="23"/>
      <c r="J72" s="23"/>
      <c r="K72" s="23"/>
      <c r="L72" s="24">
        <v>1200</v>
      </c>
      <c r="M72" s="12">
        <f t="shared" si="7"/>
        <v>365.76</v>
      </c>
      <c r="N72" s="14">
        <v>3.92</v>
      </c>
      <c r="O72" s="14">
        <v>12.860892388451443</v>
      </c>
      <c r="P72" s="15"/>
      <c r="Q72" s="16">
        <f t="shared" si="8"/>
        <v>0</v>
      </c>
      <c r="R72" s="16">
        <f t="shared" si="9"/>
        <v>0</v>
      </c>
      <c r="S72" s="17">
        <f t="shared" si="10"/>
        <v>0</v>
      </c>
    </row>
    <row r="73" spans="1:19">
      <c r="A73" s="37">
        <f t="shared" si="6"/>
        <v>68</v>
      </c>
      <c r="B73" s="37" t="s">
        <v>23</v>
      </c>
      <c r="C73" s="37" t="s">
        <v>204</v>
      </c>
      <c r="D73" s="37" t="s">
        <v>205</v>
      </c>
      <c r="E73" s="37" t="s">
        <v>205</v>
      </c>
      <c r="F73" s="38" t="s">
        <v>206</v>
      </c>
      <c r="G73" s="37">
        <v>1.25</v>
      </c>
      <c r="H73" s="23"/>
      <c r="I73" s="23"/>
      <c r="J73" s="23"/>
      <c r="K73" s="23"/>
      <c r="L73" s="24">
        <v>1200</v>
      </c>
      <c r="M73" s="12">
        <f t="shared" si="7"/>
        <v>365.76</v>
      </c>
      <c r="N73" s="14">
        <v>5.6000000000000005</v>
      </c>
      <c r="O73" s="14">
        <v>18.372703412073491</v>
      </c>
      <c r="P73" s="15"/>
      <c r="Q73" s="16">
        <f t="shared" si="8"/>
        <v>0</v>
      </c>
      <c r="R73" s="16">
        <f t="shared" si="9"/>
        <v>0</v>
      </c>
      <c r="S73" s="17">
        <f t="shared" si="10"/>
        <v>0</v>
      </c>
    </row>
    <row r="74" spans="1:19">
      <c r="A74" s="37">
        <f t="shared" si="6"/>
        <v>69</v>
      </c>
      <c r="B74" s="37" t="s">
        <v>23</v>
      </c>
      <c r="C74" s="37" t="s">
        <v>207</v>
      </c>
      <c r="D74" s="37" t="s">
        <v>208</v>
      </c>
      <c r="E74" s="37" t="s">
        <v>208</v>
      </c>
      <c r="F74" s="38" t="s">
        <v>209</v>
      </c>
      <c r="G74" s="37">
        <v>1.25</v>
      </c>
      <c r="H74" s="23"/>
      <c r="I74" s="23"/>
      <c r="J74" s="23"/>
      <c r="K74" s="23"/>
      <c r="L74" s="24">
        <v>1200</v>
      </c>
      <c r="M74" s="12">
        <f t="shared" si="7"/>
        <v>365.76</v>
      </c>
      <c r="N74" s="14">
        <v>6.4266666666666667</v>
      </c>
      <c r="O74" s="14">
        <v>21.084864391951005</v>
      </c>
      <c r="P74" s="15"/>
      <c r="Q74" s="16">
        <f t="shared" si="8"/>
        <v>0</v>
      </c>
      <c r="R74" s="16">
        <f t="shared" si="9"/>
        <v>0</v>
      </c>
      <c r="S74" s="17">
        <f t="shared" si="10"/>
        <v>0</v>
      </c>
    </row>
    <row r="75" spans="1:19">
      <c r="A75" s="37">
        <f t="shared" si="6"/>
        <v>70</v>
      </c>
      <c r="B75" s="37" t="s">
        <v>23</v>
      </c>
      <c r="C75" s="37" t="s">
        <v>210</v>
      </c>
      <c r="D75" s="37" t="s">
        <v>211</v>
      </c>
      <c r="E75" s="37" t="s">
        <v>211</v>
      </c>
      <c r="F75" s="38" t="s">
        <v>190</v>
      </c>
      <c r="G75" s="37">
        <v>1.25</v>
      </c>
      <c r="H75" s="23"/>
      <c r="I75" s="23"/>
      <c r="J75" s="23"/>
      <c r="K75" s="23"/>
      <c r="L75" s="24">
        <v>1200</v>
      </c>
      <c r="M75" s="12">
        <f t="shared" si="7"/>
        <v>365.76</v>
      </c>
      <c r="N75" s="14">
        <v>6.9733333333333336</v>
      </c>
      <c r="O75" s="14">
        <v>22.878390201224846</v>
      </c>
      <c r="P75" s="15"/>
      <c r="Q75" s="16">
        <f t="shared" si="8"/>
        <v>0</v>
      </c>
      <c r="R75" s="16">
        <f t="shared" si="9"/>
        <v>0</v>
      </c>
      <c r="S75" s="17">
        <f t="shared" si="10"/>
        <v>0</v>
      </c>
    </row>
    <row r="76" spans="1:19">
      <c r="A76" s="37">
        <f t="shared" si="6"/>
        <v>71</v>
      </c>
      <c r="B76" s="37" t="s">
        <v>23</v>
      </c>
      <c r="C76" s="37" t="s">
        <v>212</v>
      </c>
      <c r="D76" s="37" t="s">
        <v>213</v>
      </c>
      <c r="E76" s="37" t="s">
        <v>213</v>
      </c>
      <c r="F76" s="38" t="s">
        <v>192</v>
      </c>
      <c r="G76" s="37">
        <v>1.25</v>
      </c>
      <c r="H76" s="23"/>
      <c r="I76" s="23"/>
      <c r="J76" s="23"/>
      <c r="K76" s="23"/>
      <c r="L76" s="24">
        <v>1200</v>
      </c>
      <c r="M76" s="12">
        <f t="shared" si="7"/>
        <v>365.76</v>
      </c>
      <c r="N76" s="14">
        <v>11.6</v>
      </c>
      <c r="O76" s="14">
        <v>38.057742782152225</v>
      </c>
      <c r="P76" s="15"/>
      <c r="Q76" s="16">
        <f t="shared" si="8"/>
        <v>0</v>
      </c>
      <c r="R76" s="16">
        <f t="shared" si="9"/>
        <v>0</v>
      </c>
      <c r="S76" s="17">
        <f t="shared" si="10"/>
        <v>0</v>
      </c>
    </row>
    <row r="77" spans="1:19">
      <c r="A77" s="37">
        <f t="shared" si="6"/>
        <v>72</v>
      </c>
      <c r="B77" s="37" t="s">
        <v>23</v>
      </c>
      <c r="C77" s="37" t="s">
        <v>214</v>
      </c>
      <c r="D77" s="37" t="s">
        <v>215</v>
      </c>
      <c r="E77" s="37" t="s">
        <v>215</v>
      </c>
      <c r="F77" s="38" t="s">
        <v>194</v>
      </c>
      <c r="G77" s="37">
        <v>1.25</v>
      </c>
      <c r="H77" s="23"/>
      <c r="I77" s="23"/>
      <c r="J77" s="23"/>
      <c r="K77" s="23"/>
      <c r="L77" s="24">
        <v>1200</v>
      </c>
      <c r="M77" s="12">
        <f t="shared" si="7"/>
        <v>365.76</v>
      </c>
      <c r="N77" s="14">
        <v>14.44</v>
      </c>
      <c r="O77" s="14">
        <v>47.375328083989494</v>
      </c>
      <c r="P77" s="15"/>
      <c r="Q77" s="16">
        <f t="shared" si="8"/>
        <v>0</v>
      </c>
      <c r="R77" s="16">
        <f t="shared" si="9"/>
        <v>0</v>
      </c>
      <c r="S77" s="17">
        <f t="shared" si="10"/>
        <v>0</v>
      </c>
    </row>
    <row r="78" spans="1:19">
      <c r="A78" s="37">
        <f t="shared" si="6"/>
        <v>73</v>
      </c>
      <c r="B78" s="37" t="s">
        <v>23</v>
      </c>
      <c r="C78" s="37" t="s">
        <v>216</v>
      </c>
      <c r="D78" s="37" t="s">
        <v>217</v>
      </c>
      <c r="E78" s="37" t="s">
        <v>217</v>
      </c>
      <c r="F78" s="38" t="s">
        <v>196</v>
      </c>
      <c r="G78" s="37">
        <v>1.25</v>
      </c>
      <c r="H78" s="23"/>
      <c r="I78" s="23"/>
      <c r="J78" s="23"/>
      <c r="K78" s="23"/>
      <c r="L78" s="24">
        <v>1200</v>
      </c>
      <c r="M78" s="12">
        <f t="shared" si="7"/>
        <v>365.76</v>
      </c>
      <c r="N78" s="14">
        <v>22.333333333333332</v>
      </c>
      <c r="O78" s="14">
        <v>73.272090988626417</v>
      </c>
      <c r="P78" s="15"/>
      <c r="Q78" s="16">
        <f t="shared" si="8"/>
        <v>0</v>
      </c>
      <c r="R78" s="16">
        <f t="shared" si="9"/>
        <v>0</v>
      </c>
      <c r="S78" s="17">
        <f t="shared" si="10"/>
        <v>0</v>
      </c>
    </row>
    <row r="79" spans="1:19">
      <c r="A79" s="33">
        <f>A78+1</f>
        <v>74</v>
      </c>
      <c r="B79" s="33" t="s">
        <v>23</v>
      </c>
      <c r="C79" s="33"/>
      <c r="D79" s="33" t="s">
        <v>218</v>
      </c>
      <c r="E79" s="33" t="s">
        <v>218</v>
      </c>
      <c r="F79" s="34" t="s">
        <v>219</v>
      </c>
      <c r="G79" s="33">
        <v>1.25</v>
      </c>
      <c r="H79" s="23">
        <v>30.5</v>
      </c>
      <c r="I79" s="23">
        <f t="shared" si="5"/>
        <v>100.06561679790026</v>
      </c>
      <c r="J79" s="23"/>
      <c r="K79" s="23"/>
      <c r="L79" s="24">
        <v>400</v>
      </c>
      <c r="M79" s="12">
        <f t="shared" si="7"/>
        <v>121.92</v>
      </c>
      <c r="N79" s="14">
        <v>2.0731707317073167</v>
      </c>
      <c r="O79" s="14">
        <v>6.8017412457589126</v>
      </c>
      <c r="P79" s="15"/>
      <c r="Q79" s="16">
        <f t="shared" si="8"/>
        <v>0</v>
      </c>
      <c r="R79" s="16">
        <f t="shared" si="9"/>
        <v>0</v>
      </c>
      <c r="S79" s="17">
        <f t="shared" si="10"/>
        <v>0</v>
      </c>
    </row>
    <row r="80" spans="1:19">
      <c r="A80" s="33">
        <f t="shared" si="6"/>
        <v>75</v>
      </c>
      <c r="B80" s="33" t="s">
        <v>23</v>
      </c>
      <c r="C80" s="33" t="s">
        <v>220</v>
      </c>
      <c r="D80" s="33" t="s">
        <v>221</v>
      </c>
      <c r="E80" s="33" t="s">
        <v>221</v>
      </c>
      <c r="F80" s="34" t="s">
        <v>222</v>
      </c>
      <c r="G80" s="33">
        <v>1.25</v>
      </c>
      <c r="H80" s="23">
        <v>30.5</v>
      </c>
      <c r="I80" s="23">
        <f t="shared" si="5"/>
        <v>100.06561679790026</v>
      </c>
      <c r="J80" s="23"/>
      <c r="K80" s="23"/>
      <c r="L80" s="24">
        <v>400</v>
      </c>
      <c r="M80" s="12">
        <f t="shared" si="7"/>
        <v>121.92</v>
      </c>
      <c r="N80" s="14">
        <v>2.1219512195121948</v>
      </c>
      <c r="O80" s="14">
        <v>6.9617822162473582</v>
      </c>
      <c r="P80" s="15"/>
      <c r="Q80" s="16">
        <f t="shared" si="8"/>
        <v>0</v>
      </c>
      <c r="R80" s="16">
        <f t="shared" si="9"/>
        <v>0</v>
      </c>
      <c r="S80" s="17">
        <f t="shared" si="10"/>
        <v>0</v>
      </c>
    </row>
    <row r="81" spans="1:19">
      <c r="A81" s="33">
        <f t="shared" si="6"/>
        <v>76</v>
      </c>
      <c r="B81" s="33" t="s">
        <v>23</v>
      </c>
      <c r="C81" s="33" t="s">
        <v>223</v>
      </c>
      <c r="D81" s="33" t="s">
        <v>224</v>
      </c>
      <c r="E81" s="33" t="s">
        <v>224</v>
      </c>
      <c r="F81" s="34" t="s">
        <v>225</v>
      </c>
      <c r="G81" s="33">
        <v>1.25</v>
      </c>
      <c r="H81" s="23">
        <v>30.5</v>
      </c>
      <c r="I81" s="23">
        <f t="shared" si="5"/>
        <v>100.06561679790026</v>
      </c>
      <c r="J81" s="23"/>
      <c r="K81" s="23"/>
      <c r="L81" s="24">
        <v>400</v>
      </c>
      <c r="M81" s="12">
        <f t="shared" si="7"/>
        <v>121.92</v>
      </c>
      <c r="N81" s="14">
        <v>2.4999999999999996</v>
      </c>
      <c r="O81" s="14">
        <v>8.2020997375328069</v>
      </c>
      <c r="P81" s="15"/>
      <c r="Q81" s="16">
        <f t="shared" si="8"/>
        <v>0</v>
      </c>
      <c r="R81" s="16">
        <f t="shared" si="9"/>
        <v>0</v>
      </c>
      <c r="S81" s="17">
        <f t="shared" si="10"/>
        <v>0</v>
      </c>
    </row>
    <row r="82" spans="1:19">
      <c r="A82" s="33">
        <f t="shared" si="6"/>
        <v>77</v>
      </c>
      <c r="B82" s="33" t="s">
        <v>23</v>
      </c>
      <c r="C82" s="33" t="s">
        <v>226</v>
      </c>
      <c r="D82" s="33" t="s">
        <v>227</v>
      </c>
      <c r="E82" s="33" t="s">
        <v>227</v>
      </c>
      <c r="F82" s="34" t="s">
        <v>228</v>
      </c>
      <c r="G82" s="33">
        <v>1.25</v>
      </c>
      <c r="H82" s="23">
        <v>30.5</v>
      </c>
      <c r="I82" s="23">
        <f t="shared" si="5"/>
        <v>100.06561679790026</v>
      </c>
      <c r="J82" s="23"/>
      <c r="K82" s="23"/>
      <c r="L82" s="24">
        <v>400</v>
      </c>
      <c r="M82" s="12">
        <f t="shared" si="7"/>
        <v>121.92</v>
      </c>
      <c r="N82" s="14">
        <v>2.8658536585365852</v>
      </c>
      <c r="O82" s="14">
        <v>9.4024070161961451</v>
      </c>
      <c r="P82" s="15"/>
      <c r="Q82" s="16">
        <f t="shared" si="8"/>
        <v>0</v>
      </c>
      <c r="R82" s="16">
        <f t="shared" si="9"/>
        <v>0</v>
      </c>
      <c r="S82" s="17">
        <f t="shared" si="10"/>
        <v>0</v>
      </c>
    </row>
    <row r="83" spans="1:19">
      <c r="A83" s="33">
        <f t="shared" si="6"/>
        <v>78</v>
      </c>
      <c r="B83" s="33" t="s">
        <v>23</v>
      </c>
      <c r="C83" s="33" t="s">
        <v>229</v>
      </c>
      <c r="D83" s="33" t="s">
        <v>230</v>
      </c>
      <c r="E83" s="33" t="s">
        <v>230</v>
      </c>
      <c r="F83" s="34" t="s">
        <v>231</v>
      </c>
      <c r="G83" s="33">
        <v>1.25</v>
      </c>
      <c r="H83" s="23">
        <v>30.5</v>
      </c>
      <c r="I83" s="23">
        <f t="shared" si="5"/>
        <v>100.06561679790026</v>
      </c>
      <c r="J83" s="23"/>
      <c r="K83" s="23"/>
      <c r="L83" s="24">
        <v>400</v>
      </c>
      <c r="M83" s="12">
        <f t="shared" si="7"/>
        <v>121.92</v>
      </c>
      <c r="N83" s="14">
        <v>3.5487804878048781</v>
      </c>
      <c r="O83" s="14">
        <v>11.642980603034376</v>
      </c>
      <c r="P83" s="15"/>
      <c r="Q83" s="16">
        <f t="shared" si="8"/>
        <v>0</v>
      </c>
      <c r="R83" s="16">
        <f t="shared" si="9"/>
        <v>0</v>
      </c>
      <c r="S83" s="17">
        <f t="shared" si="10"/>
        <v>0</v>
      </c>
    </row>
    <row r="84" spans="1:19">
      <c r="A84" s="33">
        <f t="shared" si="6"/>
        <v>79</v>
      </c>
      <c r="B84" s="33" t="s">
        <v>23</v>
      </c>
      <c r="C84" s="33" t="s">
        <v>232</v>
      </c>
      <c r="D84" s="33" t="s">
        <v>233</v>
      </c>
      <c r="E84" s="33" t="s">
        <v>233</v>
      </c>
      <c r="F84" s="34" t="s">
        <v>234</v>
      </c>
      <c r="G84" s="33">
        <v>1.25</v>
      </c>
      <c r="H84" s="23">
        <v>30.5</v>
      </c>
      <c r="I84" s="23">
        <f t="shared" si="5"/>
        <v>100.06561679790026</v>
      </c>
      <c r="J84" s="23"/>
      <c r="K84" s="23"/>
      <c r="L84" s="24">
        <v>400</v>
      </c>
      <c r="M84" s="12">
        <f t="shared" si="7"/>
        <v>121.92</v>
      </c>
      <c r="N84" s="14">
        <v>5.1341463414634143</v>
      </c>
      <c r="O84" s="14">
        <v>16.844312143908837</v>
      </c>
      <c r="P84" s="15"/>
      <c r="Q84" s="16">
        <f t="shared" si="8"/>
        <v>0</v>
      </c>
      <c r="R84" s="16">
        <f t="shared" si="9"/>
        <v>0</v>
      </c>
      <c r="S84" s="17">
        <f t="shared" si="10"/>
        <v>0</v>
      </c>
    </row>
    <row r="85" spans="1:19">
      <c r="A85" s="33">
        <f t="shared" si="6"/>
        <v>80</v>
      </c>
      <c r="B85" s="33" t="s">
        <v>23</v>
      </c>
      <c r="C85" s="33" t="s">
        <v>235</v>
      </c>
      <c r="D85" s="33" t="s">
        <v>236</v>
      </c>
      <c r="E85" s="33" t="s">
        <v>236</v>
      </c>
      <c r="F85" s="34" t="s">
        <v>237</v>
      </c>
      <c r="G85" s="33">
        <v>1.25</v>
      </c>
      <c r="H85" s="23">
        <v>30.5</v>
      </c>
      <c r="I85" s="23">
        <f t="shared" si="5"/>
        <v>100.06561679790026</v>
      </c>
      <c r="J85" s="23"/>
      <c r="K85" s="23"/>
      <c r="L85" s="24">
        <v>400</v>
      </c>
      <c r="M85" s="12">
        <f t="shared" si="7"/>
        <v>121.92</v>
      </c>
      <c r="N85" s="14">
        <v>5.975609756097561</v>
      </c>
      <c r="O85" s="14">
        <v>19.605018884834518</v>
      </c>
      <c r="P85" s="15"/>
      <c r="Q85" s="16">
        <f t="shared" si="8"/>
        <v>0</v>
      </c>
      <c r="R85" s="16">
        <f t="shared" si="9"/>
        <v>0</v>
      </c>
      <c r="S85" s="17">
        <f t="shared" si="10"/>
        <v>0</v>
      </c>
    </row>
    <row r="86" spans="1:19">
      <c r="A86" s="37">
        <f>A85+1</f>
        <v>81</v>
      </c>
      <c r="B86" s="37" t="s">
        <v>238</v>
      </c>
      <c r="C86" s="37" t="s">
        <v>239</v>
      </c>
      <c r="D86" s="39" t="s">
        <v>240</v>
      </c>
      <c r="E86" s="39" t="s">
        <v>241</v>
      </c>
      <c r="F86" s="40" t="s">
        <v>192</v>
      </c>
      <c r="G86" s="39">
        <v>1.25</v>
      </c>
      <c r="H86" s="41">
        <v>60</v>
      </c>
      <c r="I86" s="23">
        <f t="shared" si="5"/>
        <v>196.85039370078738</v>
      </c>
      <c r="J86" s="41"/>
      <c r="K86" s="41"/>
      <c r="L86" s="24">
        <v>600</v>
      </c>
      <c r="M86" s="12">
        <f t="shared" si="7"/>
        <v>182.88</v>
      </c>
      <c r="N86" s="14">
        <v>14.424999999999999</v>
      </c>
      <c r="O86" s="14">
        <v>47.326115485564301</v>
      </c>
      <c r="P86" s="15"/>
      <c r="Q86" s="16">
        <f t="shared" si="8"/>
        <v>0</v>
      </c>
      <c r="R86" s="16">
        <f t="shared" si="9"/>
        <v>0</v>
      </c>
      <c r="S86" s="17">
        <f t="shared" si="10"/>
        <v>0</v>
      </c>
    </row>
    <row r="87" spans="1:19">
      <c r="A87" s="37">
        <f t="shared" ref="A87:A100" si="11">A86+1</f>
        <v>82</v>
      </c>
      <c r="B87" s="37" t="s">
        <v>238</v>
      </c>
      <c r="C87" s="37" t="s">
        <v>242</v>
      </c>
      <c r="D87" s="39" t="s">
        <v>243</v>
      </c>
      <c r="E87" s="39" t="s">
        <v>244</v>
      </c>
      <c r="F87" s="40" t="s">
        <v>194</v>
      </c>
      <c r="G87" s="39">
        <v>1.25</v>
      </c>
      <c r="H87" s="41">
        <v>60</v>
      </c>
      <c r="I87" s="23">
        <f t="shared" si="5"/>
        <v>196.85039370078738</v>
      </c>
      <c r="J87" s="41"/>
      <c r="K87" s="41"/>
      <c r="L87" s="24">
        <v>400</v>
      </c>
      <c r="M87" s="12">
        <f t="shared" si="7"/>
        <v>121.92</v>
      </c>
      <c r="N87" s="14">
        <v>16.518987341772153</v>
      </c>
      <c r="O87" s="14">
        <v>54.196152696102864</v>
      </c>
      <c r="P87" s="15"/>
      <c r="Q87" s="16">
        <f t="shared" si="8"/>
        <v>0</v>
      </c>
      <c r="R87" s="16">
        <f t="shared" si="9"/>
        <v>0</v>
      </c>
      <c r="S87" s="17">
        <f t="shared" si="10"/>
        <v>0</v>
      </c>
    </row>
    <row r="88" spans="1:19">
      <c r="A88" s="37">
        <f t="shared" si="11"/>
        <v>83</v>
      </c>
      <c r="B88" s="37" t="s">
        <v>238</v>
      </c>
      <c r="C88" s="37" t="s">
        <v>245</v>
      </c>
      <c r="D88" s="39" t="s">
        <v>246</v>
      </c>
      <c r="E88" s="39" t="s">
        <v>247</v>
      </c>
      <c r="F88" s="40" t="s">
        <v>196</v>
      </c>
      <c r="G88" s="39">
        <v>1.25</v>
      </c>
      <c r="H88" s="41">
        <v>60</v>
      </c>
      <c r="I88" s="23">
        <f t="shared" si="5"/>
        <v>196.85039370078738</v>
      </c>
      <c r="J88" s="41"/>
      <c r="K88" s="41"/>
      <c r="L88" s="24">
        <v>400</v>
      </c>
      <c r="M88" s="12">
        <f t="shared" si="7"/>
        <v>121.92</v>
      </c>
      <c r="N88" s="14">
        <v>26.112500000000001</v>
      </c>
      <c r="O88" s="14">
        <v>85.670931758530187</v>
      </c>
      <c r="P88" s="15"/>
      <c r="Q88" s="16">
        <f t="shared" si="8"/>
        <v>0</v>
      </c>
      <c r="R88" s="16">
        <f t="shared" si="9"/>
        <v>0</v>
      </c>
      <c r="S88" s="17">
        <f t="shared" si="10"/>
        <v>0</v>
      </c>
    </row>
    <row r="89" spans="1:19">
      <c r="A89" s="25">
        <f t="shared" si="11"/>
        <v>84</v>
      </c>
      <c r="B89" s="25" t="s">
        <v>238</v>
      </c>
      <c r="C89" s="25" t="s">
        <v>248</v>
      </c>
      <c r="D89" s="42" t="s">
        <v>249</v>
      </c>
      <c r="E89" s="42" t="s">
        <v>250</v>
      </c>
      <c r="F89" s="43" t="s">
        <v>251</v>
      </c>
      <c r="G89" s="42">
        <v>1.25</v>
      </c>
      <c r="H89" s="41"/>
      <c r="I89" s="41">
        <v>500</v>
      </c>
      <c r="J89" s="41"/>
      <c r="K89" s="41"/>
      <c r="L89" s="24">
        <v>1200</v>
      </c>
      <c r="M89" s="12">
        <f t="shared" si="7"/>
        <v>365.76</v>
      </c>
      <c r="N89" s="14">
        <v>0.97333333333333327</v>
      </c>
      <c r="O89" s="14">
        <v>3.1933508311461063</v>
      </c>
      <c r="P89" s="15"/>
      <c r="Q89" s="16">
        <f t="shared" si="8"/>
        <v>0</v>
      </c>
      <c r="R89" s="16">
        <f t="shared" si="9"/>
        <v>0</v>
      </c>
      <c r="S89" s="17">
        <f t="shared" si="10"/>
        <v>0</v>
      </c>
    </row>
    <row r="90" spans="1:19">
      <c r="A90" s="25">
        <f t="shared" si="11"/>
        <v>85</v>
      </c>
      <c r="B90" s="25" t="s">
        <v>238</v>
      </c>
      <c r="C90" s="25" t="s">
        <v>252</v>
      </c>
      <c r="D90" s="42" t="s">
        <v>253</v>
      </c>
      <c r="E90" s="42" t="s">
        <v>254</v>
      </c>
      <c r="F90" s="43" t="s">
        <v>255</v>
      </c>
      <c r="G90" s="42">
        <v>1.25</v>
      </c>
      <c r="H90" s="41"/>
      <c r="I90" s="41">
        <v>500</v>
      </c>
      <c r="J90" s="41"/>
      <c r="K90" s="41"/>
      <c r="L90" s="24">
        <v>1200</v>
      </c>
      <c r="M90" s="12">
        <f t="shared" si="7"/>
        <v>365.76</v>
      </c>
      <c r="N90" s="14">
        <v>1.1066666666666667</v>
      </c>
      <c r="O90" s="14">
        <v>3.6307961504811899</v>
      </c>
      <c r="P90" s="15"/>
      <c r="Q90" s="16">
        <f t="shared" si="8"/>
        <v>0</v>
      </c>
      <c r="R90" s="16">
        <f t="shared" si="9"/>
        <v>0</v>
      </c>
      <c r="S90" s="17">
        <f t="shared" si="10"/>
        <v>0</v>
      </c>
    </row>
    <row r="91" spans="1:19">
      <c r="A91" s="25">
        <f t="shared" si="11"/>
        <v>86</v>
      </c>
      <c r="B91" s="25" t="s">
        <v>238</v>
      </c>
      <c r="C91" s="25" t="s">
        <v>256</v>
      </c>
      <c r="D91" s="42" t="s">
        <v>257</v>
      </c>
      <c r="E91" s="42" t="s">
        <v>258</v>
      </c>
      <c r="F91" s="43" t="s">
        <v>259</v>
      </c>
      <c r="G91" s="42">
        <v>1.25</v>
      </c>
      <c r="H91" s="41"/>
      <c r="I91" s="41">
        <v>500</v>
      </c>
      <c r="J91" s="41"/>
      <c r="K91" s="41"/>
      <c r="L91" s="24">
        <v>1200</v>
      </c>
      <c r="M91" s="12">
        <f t="shared" si="7"/>
        <v>365.76</v>
      </c>
      <c r="N91" s="14">
        <v>1.2933333333333332</v>
      </c>
      <c r="O91" s="14">
        <v>4.243219597550306</v>
      </c>
      <c r="P91" s="15"/>
      <c r="Q91" s="16">
        <f t="shared" si="8"/>
        <v>0</v>
      </c>
      <c r="R91" s="16">
        <f t="shared" si="9"/>
        <v>0</v>
      </c>
      <c r="S91" s="17">
        <f t="shared" si="10"/>
        <v>0</v>
      </c>
    </row>
    <row r="92" spans="1:19">
      <c r="A92" s="25">
        <f t="shared" si="11"/>
        <v>87</v>
      </c>
      <c r="B92" s="25" t="s">
        <v>238</v>
      </c>
      <c r="C92" s="25" t="s">
        <v>260</v>
      </c>
      <c r="D92" s="42" t="s">
        <v>261</v>
      </c>
      <c r="E92" s="42" t="s">
        <v>262</v>
      </c>
      <c r="F92" s="43" t="s">
        <v>263</v>
      </c>
      <c r="G92" s="42">
        <v>1.25</v>
      </c>
      <c r="H92" s="41"/>
      <c r="I92" s="41">
        <v>250</v>
      </c>
      <c r="J92" s="41"/>
      <c r="K92" s="41"/>
      <c r="L92" s="24">
        <v>1200</v>
      </c>
      <c r="M92" s="12">
        <f t="shared" si="7"/>
        <v>365.76</v>
      </c>
      <c r="N92" s="14">
        <v>1.4933333333333334</v>
      </c>
      <c r="O92" s="14">
        <v>4.8993875765529307</v>
      </c>
      <c r="P92" s="15"/>
      <c r="Q92" s="16">
        <f t="shared" si="8"/>
        <v>0</v>
      </c>
      <c r="R92" s="16">
        <f t="shared" si="9"/>
        <v>0</v>
      </c>
      <c r="S92" s="17">
        <f t="shared" si="10"/>
        <v>0</v>
      </c>
    </row>
    <row r="93" spans="1:19">
      <c r="A93" s="25">
        <f t="shared" si="11"/>
        <v>88</v>
      </c>
      <c r="B93" s="25" t="s">
        <v>238</v>
      </c>
      <c r="C93" s="25" t="s">
        <v>264</v>
      </c>
      <c r="D93" s="42" t="s">
        <v>265</v>
      </c>
      <c r="E93" s="42" t="s">
        <v>266</v>
      </c>
      <c r="F93" s="43" t="s">
        <v>267</v>
      </c>
      <c r="G93" s="42">
        <v>1.25</v>
      </c>
      <c r="H93" s="41"/>
      <c r="I93" s="41">
        <v>250</v>
      </c>
      <c r="J93" s="41"/>
      <c r="K93" s="41"/>
      <c r="L93" s="24">
        <v>1200</v>
      </c>
      <c r="M93" s="12">
        <f t="shared" si="7"/>
        <v>365.76</v>
      </c>
      <c r="N93" s="14">
        <v>1.64</v>
      </c>
      <c r="O93" s="14">
        <v>5.3805774278215219</v>
      </c>
      <c r="P93" s="15"/>
      <c r="Q93" s="16">
        <f t="shared" si="8"/>
        <v>0</v>
      </c>
      <c r="R93" s="16">
        <f t="shared" si="9"/>
        <v>0</v>
      </c>
      <c r="S93" s="17">
        <f t="shared" si="10"/>
        <v>0</v>
      </c>
    </row>
    <row r="94" spans="1:19">
      <c r="A94" s="25">
        <f t="shared" si="11"/>
        <v>89</v>
      </c>
      <c r="B94" s="25" t="s">
        <v>238</v>
      </c>
      <c r="C94" s="25" t="s">
        <v>268</v>
      </c>
      <c r="D94" s="42" t="s">
        <v>269</v>
      </c>
      <c r="E94" s="42" t="s">
        <v>270</v>
      </c>
      <c r="F94" s="43" t="s">
        <v>271</v>
      </c>
      <c r="G94" s="42">
        <v>1.25</v>
      </c>
      <c r="H94" s="41"/>
      <c r="I94" s="41">
        <v>150</v>
      </c>
      <c r="J94" s="41"/>
      <c r="K94" s="41"/>
      <c r="L94" s="24">
        <v>1200</v>
      </c>
      <c r="M94" s="12">
        <f t="shared" si="7"/>
        <v>365.76</v>
      </c>
      <c r="N94" s="14">
        <v>2.2266666666666666</v>
      </c>
      <c r="O94" s="14">
        <v>7.305336832895887</v>
      </c>
      <c r="P94" s="15"/>
      <c r="Q94" s="16">
        <f t="shared" si="8"/>
        <v>0</v>
      </c>
      <c r="R94" s="16">
        <f t="shared" si="9"/>
        <v>0</v>
      </c>
      <c r="S94" s="17">
        <f t="shared" si="10"/>
        <v>0</v>
      </c>
    </row>
    <row r="95" spans="1:19">
      <c r="A95" s="31">
        <f t="shared" si="11"/>
        <v>90</v>
      </c>
      <c r="B95" s="31" t="s">
        <v>238</v>
      </c>
      <c r="C95" s="31" t="s">
        <v>272</v>
      </c>
      <c r="D95" s="31" t="s">
        <v>273</v>
      </c>
      <c r="E95" s="31" t="s">
        <v>274</v>
      </c>
      <c r="F95" s="32" t="s">
        <v>137</v>
      </c>
      <c r="G95" s="31">
        <v>1.25</v>
      </c>
      <c r="H95" s="41"/>
      <c r="I95" s="41"/>
      <c r="J95" s="41"/>
      <c r="K95" s="41"/>
      <c r="L95" s="24">
        <v>1200</v>
      </c>
      <c r="M95" s="12">
        <f t="shared" si="7"/>
        <v>365.76</v>
      </c>
      <c r="N95" s="14">
        <v>3.1692307692307691</v>
      </c>
      <c r="O95" s="14">
        <v>10.397738744195436</v>
      </c>
      <c r="P95" s="15"/>
      <c r="Q95" s="16">
        <f t="shared" si="8"/>
        <v>0</v>
      </c>
      <c r="R95" s="16">
        <f t="shared" si="9"/>
        <v>0</v>
      </c>
      <c r="S95" s="17">
        <f t="shared" si="10"/>
        <v>0</v>
      </c>
    </row>
    <row r="96" spans="1:19">
      <c r="A96" s="31">
        <f t="shared" si="11"/>
        <v>91</v>
      </c>
      <c r="B96" s="31" t="s">
        <v>238</v>
      </c>
      <c r="C96" s="31" t="s">
        <v>275</v>
      </c>
      <c r="D96" s="31" t="s">
        <v>276</v>
      </c>
      <c r="E96" s="31" t="s">
        <v>277</v>
      </c>
      <c r="F96" s="32" t="s">
        <v>141</v>
      </c>
      <c r="G96" s="31">
        <v>1.25</v>
      </c>
      <c r="H96" s="41"/>
      <c r="I96" s="41"/>
      <c r="J96" s="41"/>
      <c r="K96" s="41"/>
      <c r="L96" s="24">
        <v>1200</v>
      </c>
      <c r="M96" s="12">
        <f t="shared" si="7"/>
        <v>365.76</v>
      </c>
      <c r="N96" s="14">
        <v>3.569230769230769</v>
      </c>
      <c r="O96" s="14">
        <v>11.710074702200686</v>
      </c>
      <c r="P96" s="15"/>
      <c r="Q96" s="16">
        <f t="shared" si="8"/>
        <v>0</v>
      </c>
      <c r="R96" s="16">
        <f t="shared" si="9"/>
        <v>0</v>
      </c>
      <c r="S96" s="17">
        <f t="shared" si="10"/>
        <v>0</v>
      </c>
    </row>
    <row r="97" spans="1:19">
      <c r="A97" s="31">
        <f t="shared" si="11"/>
        <v>92</v>
      </c>
      <c r="B97" s="31" t="s">
        <v>238</v>
      </c>
      <c r="C97" s="31" t="s">
        <v>278</v>
      </c>
      <c r="D97" s="31" t="s">
        <v>279</v>
      </c>
      <c r="E97" s="31" t="s">
        <v>280</v>
      </c>
      <c r="F97" s="32" t="s">
        <v>144</v>
      </c>
      <c r="G97" s="31">
        <v>1.25</v>
      </c>
      <c r="H97" s="41"/>
      <c r="I97" s="41"/>
      <c r="J97" s="41"/>
      <c r="K97" s="41"/>
      <c r="L97" s="24">
        <v>1200</v>
      </c>
      <c r="M97" s="12">
        <f t="shared" si="7"/>
        <v>365.76</v>
      </c>
      <c r="N97" s="14">
        <v>3.9230769230769225</v>
      </c>
      <c r="O97" s="14">
        <v>12.870987280436097</v>
      </c>
      <c r="P97" s="15"/>
      <c r="Q97" s="16">
        <f t="shared" si="8"/>
        <v>0</v>
      </c>
      <c r="R97" s="16">
        <f t="shared" si="9"/>
        <v>0</v>
      </c>
      <c r="S97" s="17">
        <f t="shared" si="10"/>
        <v>0</v>
      </c>
    </row>
    <row r="98" spans="1:19">
      <c r="A98" s="31">
        <f t="shared" si="11"/>
        <v>93</v>
      </c>
      <c r="B98" s="31" t="s">
        <v>238</v>
      </c>
      <c r="C98" s="31" t="s">
        <v>281</v>
      </c>
      <c r="D98" s="31" t="s">
        <v>282</v>
      </c>
      <c r="E98" s="31" t="s">
        <v>283</v>
      </c>
      <c r="F98" s="32" t="s">
        <v>147</v>
      </c>
      <c r="G98" s="31">
        <v>1.25</v>
      </c>
      <c r="H98" s="41"/>
      <c r="I98" s="41"/>
      <c r="J98" s="41"/>
      <c r="K98" s="41"/>
      <c r="L98" s="24">
        <v>1200</v>
      </c>
      <c r="M98" s="12">
        <f t="shared" si="7"/>
        <v>365.76</v>
      </c>
      <c r="N98" s="14">
        <v>4.2461538461538453</v>
      </c>
      <c r="O98" s="14">
        <v>13.930950938824951</v>
      </c>
      <c r="P98" s="15"/>
      <c r="Q98" s="16">
        <f t="shared" si="8"/>
        <v>0</v>
      </c>
      <c r="R98" s="16">
        <f t="shared" si="9"/>
        <v>0</v>
      </c>
      <c r="S98" s="17">
        <f t="shared" si="10"/>
        <v>0</v>
      </c>
    </row>
    <row r="99" spans="1:19">
      <c r="A99" s="31">
        <f t="shared" si="11"/>
        <v>94</v>
      </c>
      <c r="B99" s="31" t="s">
        <v>238</v>
      </c>
      <c r="C99" s="31" t="s">
        <v>284</v>
      </c>
      <c r="D99" s="31" t="s">
        <v>285</v>
      </c>
      <c r="E99" s="31" t="s">
        <v>286</v>
      </c>
      <c r="F99" s="32" t="s">
        <v>150</v>
      </c>
      <c r="G99" s="31">
        <v>1.25</v>
      </c>
      <c r="H99" s="41"/>
      <c r="I99" s="41"/>
      <c r="J99" s="41"/>
      <c r="K99" s="41"/>
      <c r="L99" s="24">
        <v>1200</v>
      </c>
      <c r="M99" s="12">
        <f t="shared" si="7"/>
        <v>365.76</v>
      </c>
      <c r="N99" s="14">
        <v>5.7230769230769232</v>
      </c>
      <c r="O99" s="14">
        <v>18.776499091459719</v>
      </c>
      <c r="P99" s="15"/>
      <c r="Q99" s="16">
        <f t="shared" si="8"/>
        <v>0</v>
      </c>
      <c r="R99" s="16">
        <f t="shared" si="9"/>
        <v>0</v>
      </c>
      <c r="S99" s="17">
        <f t="shared" si="10"/>
        <v>0</v>
      </c>
    </row>
    <row r="100" spans="1:19">
      <c r="A100" s="31">
        <f t="shared" si="11"/>
        <v>95</v>
      </c>
      <c r="B100" s="31" t="s">
        <v>238</v>
      </c>
      <c r="C100" s="31" t="s">
        <v>287</v>
      </c>
      <c r="D100" s="31" t="s">
        <v>288</v>
      </c>
      <c r="E100" s="31" t="s">
        <v>289</v>
      </c>
      <c r="F100" s="32" t="s">
        <v>153</v>
      </c>
      <c r="G100" s="31">
        <v>1.25</v>
      </c>
      <c r="H100" s="41"/>
      <c r="I100" s="41"/>
      <c r="J100" s="41"/>
      <c r="K100" s="41"/>
      <c r="L100" s="24">
        <v>1200</v>
      </c>
      <c r="M100" s="12">
        <f t="shared" si="7"/>
        <v>365.76</v>
      </c>
      <c r="N100" s="14">
        <v>7.3384615384615373</v>
      </c>
      <c r="O100" s="14">
        <v>24.076317383403993</v>
      </c>
      <c r="P100" s="15"/>
      <c r="Q100" s="16">
        <f t="shared" si="8"/>
        <v>0</v>
      </c>
      <c r="R100" s="16">
        <f t="shared" si="9"/>
        <v>0</v>
      </c>
      <c r="S100" s="17">
        <f t="shared" si="10"/>
        <v>0</v>
      </c>
    </row>
    <row r="101" spans="1:19">
      <c r="S101" s="44">
        <f>SUM(S6:S100)</f>
        <v>0</v>
      </c>
    </row>
  </sheetData>
  <autoFilter ref="A5:S101" xr:uid="{7DCEE216-81EB-4011-AD17-E13E24D3AD3C}"/>
  <mergeCells count="1">
    <mergeCell ref="P3:S3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6A742F-4021-4AE4-BB38-EE45F395E4AA}"/>
</file>

<file path=customXml/itemProps2.xml><?xml version="1.0" encoding="utf-8"?>
<ds:datastoreItem xmlns:ds="http://schemas.openxmlformats.org/officeDocument/2006/customXml" ds:itemID="{158F34BD-3D31-4D77-ADB7-E81F01301466}"/>
</file>

<file path=customXml/itemProps3.xml><?xml version="1.0" encoding="utf-8"?>
<ds:datastoreItem xmlns:ds="http://schemas.openxmlformats.org/officeDocument/2006/customXml" ds:itemID="{8245F3CC-A776-4085-A991-C5F25C5369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Cortes</dc:creator>
  <cp:keywords/>
  <dc:description/>
  <cp:lastModifiedBy>Rosa Valeria Huamani Quispe</cp:lastModifiedBy>
  <cp:revision/>
  <dcterms:created xsi:type="dcterms:W3CDTF">2025-04-07T18:10:57Z</dcterms:created>
  <dcterms:modified xsi:type="dcterms:W3CDTF">2026-01-15T14:48:56Z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
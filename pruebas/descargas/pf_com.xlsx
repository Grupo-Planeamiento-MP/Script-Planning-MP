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INERIA/"/>
    </mc:Choice>
  </mc:AlternateContent>
  <xr:revisionPtr revIDLastSave="251" documentId="11_AD4D2F04E46CFB4ACB3E2012DDD5DB52683EDF26" xr6:coauthVersionLast="47" xr6:coauthVersionMax="47" xr10:uidLastSave="{A4F6F9EC-18B2-4BB5-94AF-89E370CBDA1B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0" i="1"/>
  <c r="G9" i="1"/>
  <c r="G8" i="1"/>
  <c r="G7" i="1"/>
</calcChain>
</file>

<file path=xl/sharedStrings.xml><?xml version="1.0" encoding="utf-8"?>
<sst xmlns="http://schemas.openxmlformats.org/spreadsheetml/2006/main" count="70" uniqueCount="57">
  <si>
    <t>Producto Final</t>
  </si>
  <si>
    <t>Codigo_GET</t>
  </si>
  <si>
    <t>Marca</t>
  </si>
  <si>
    <t>Descripcion</t>
  </si>
  <si>
    <t>UM</t>
  </si>
  <si>
    <t>Componente</t>
  </si>
  <si>
    <t>Q</t>
  </si>
  <si>
    <t>A18110007377</t>
  </si>
  <si>
    <t>301091150004</t>
  </si>
  <si>
    <t>BELRAY</t>
  </si>
  <si>
    <t>TERMALENE MULTIPURPOSE EP GR 2</t>
  </si>
  <si>
    <t>CL</t>
  </si>
  <si>
    <t>A23110000011</t>
  </si>
  <si>
    <t>A18110007491</t>
  </si>
  <si>
    <t>7910830</t>
  </si>
  <si>
    <t>QUANTUM</t>
  </si>
  <si>
    <t>PREMIUM AW HYDRAULIC FLUID 46</t>
  </si>
  <si>
    <t>BI</t>
  </si>
  <si>
    <t>A22080000050</t>
  </si>
  <si>
    <t>A18130007166</t>
  </si>
  <si>
    <t>7915411</t>
  </si>
  <si>
    <t>QUANTUM MP GEAR LUBE 80W-90 (302241150003)</t>
  </si>
  <si>
    <t>A23060000050</t>
  </si>
  <si>
    <t>A18130007201</t>
  </si>
  <si>
    <t>302184150003</t>
  </si>
  <si>
    <t>INDUSTRIAL GEARTECH EP 150 (CIL) (302184150003)</t>
  </si>
  <si>
    <t>A23060000049</t>
  </si>
  <si>
    <t>A18130007204</t>
  </si>
  <si>
    <t>7971811</t>
  </si>
  <si>
    <t>INDUSTRIAL GEAR TECH EP 220</t>
  </si>
  <si>
    <t>A23060000048</t>
  </si>
  <si>
    <t>A24110000028</t>
  </si>
  <si>
    <t>50523811</t>
  </si>
  <si>
    <t>BASF</t>
  </si>
  <si>
    <t>EMGARD EP WG 680 172KG 1A1</t>
  </si>
  <si>
    <t>A24080000078</t>
  </si>
  <si>
    <t>A23050000077</t>
  </si>
  <si>
    <t>RP027B35</t>
  </si>
  <si>
    <t>REPSOL</t>
  </si>
  <si>
    <t>NAVIGATOR TO-4 SAE 10W (GL)</t>
  </si>
  <si>
    <t>GL</t>
  </si>
  <si>
    <t>A22050000091</t>
  </si>
  <si>
    <t>A23050000078</t>
  </si>
  <si>
    <t>RP027D35</t>
  </si>
  <si>
    <t>NAVIGATOR TO-4 SAE 30 (GL)</t>
  </si>
  <si>
    <t>A22050000092</t>
  </si>
  <si>
    <t>A23050000079</t>
  </si>
  <si>
    <t>RX450G35</t>
  </si>
  <si>
    <t>MAKER TELEX E 68 (GL)</t>
  </si>
  <si>
    <t>A22050000093</t>
  </si>
  <si>
    <t>A22050000011</t>
  </si>
  <si>
    <t>300886150004</t>
  </si>
  <si>
    <t>MOLYLUBE 5%MOLY EP GR AC  1 (B)</t>
  </si>
  <si>
    <t>A25080000041</t>
  </si>
  <si>
    <t>A18110007295</t>
  </si>
  <si>
    <t>BL</t>
  </si>
  <si>
    <t>A18110007405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</si>
</sst>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E13" sqref="E13"/>
    </sheetView>
  </sheetViews>
  <sheetFormatPr defaultColWidth="8.85546875" defaultRowHeight="14.45"/>
  <cols>
    <col min="1" max="1" width="15.5703125" style="1" bestFit="1" customWidth="1"/>
    <col min="2" max="2" width="14.42578125" bestFit="1" customWidth="1"/>
    <col min="3" max="3" width="12.28515625" bestFit="1" customWidth="1"/>
    <col min="4" max="4" width="68.42578125" bestFit="1" customWidth="1"/>
    <col min="5" max="5" width="8.85546875" style="1"/>
    <col min="6" max="6" width="15" style="1" bestFit="1" customWidth="1"/>
    <col min="7" max="7" width="12.5703125" style="1" bestFit="1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ht="1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</v>
      </c>
    </row>
    <row r="3" spans="1:7" ht="1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1</v>
      </c>
    </row>
    <row r="4" spans="1:7" ht="15">
      <c r="A4" s="4" t="s">
        <v>19</v>
      </c>
      <c r="B4" s="4" t="s">
        <v>20</v>
      </c>
      <c r="C4" s="4" t="s">
        <v>9</v>
      </c>
      <c r="D4" s="4" t="s">
        <v>21</v>
      </c>
      <c r="E4" s="4" t="s">
        <v>11</v>
      </c>
      <c r="F4" s="4" t="s">
        <v>22</v>
      </c>
      <c r="G4" s="4">
        <v>1</v>
      </c>
    </row>
    <row r="5" spans="1:7" ht="13.9" customHeight="1">
      <c r="A5" s="4" t="s">
        <v>23</v>
      </c>
      <c r="B5" s="4" t="s">
        <v>24</v>
      </c>
      <c r="C5" s="4" t="s">
        <v>9</v>
      </c>
      <c r="D5" s="4" t="s">
        <v>25</v>
      </c>
      <c r="E5" s="4" t="s">
        <v>11</v>
      </c>
      <c r="F5" s="4" t="s">
        <v>26</v>
      </c>
      <c r="G5" s="4">
        <v>1</v>
      </c>
    </row>
    <row r="6" spans="1:7" ht="15">
      <c r="A6" s="4" t="s">
        <v>27</v>
      </c>
      <c r="B6" s="4" t="s">
        <v>28</v>
      </c>
      <c r="C6" s="4" t="s">
        <v>15</v>
      </c>
      <c r="D6" s="4" t="s">
        <v>29</v>
      </c>
      <c r="E6" s="4" t="s">
        <v>11</v>
      </c>
      <c r="F6" s="4" t="s">
        <v>30</v>
      </c>
      <c r="G6" s="4">
        <v>1</v>
      </c>
    </row>
    <row r="7" spans="1:7" ht="15">
      <c r="A7" s="4" t="s">
        <v>31</v>
      </c>
      <c r="B7" s="4" t="s">
        <v>32</v>
      </c>
      <c r="C7" s="4" t="s">
        <v>33</v>
      </c>
      <c r="D7" s="4" t="s">
        <v>34</v>
      </c>
      <c r="E7" s="4" t="s">
        <v>11</v>
      </c>
      <c r="F7" s="4" t="s">
        <v>35</v>
      </c>
      <c r="G7" s="4">
        <f>1/5</f>
        <v>0.2</v>
      </c>
    </row>
    <row r="8" spans="1:7" ht="15">
      <c r="A8" s="7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>
        <f>1/264</f>
        <v>3.787878787878788E-3</v>
      </c>
    </row>
    <row r="9" spans="1:7" ht="15">
      <c r="A9" s="4" t="s">
        <v>42</v>
      </c>
      <c r="B9" s="4" t="s">
        <v>43</v>
      </c>
      <c r="C9" s="4" t="s">
        <v>38</v>
      </c>
      <c r="D9" s="4" t="s">
        <v>44</v>
      </c>
      <c r="E9" s="4" t="s">
        <v>40</v>
      </c>
      <c r="F9" s="4" t="s">
        <v>45</v>
      </c>
      <c r="G9" s="4">
        <f>1/264</f>
        <v>3.787878787878788E-3</v>
      </c>
    </row>
    <row r="10" spans="1:7" ht="15">
      <c r="A10" s="5" t="s">
        <v>46</v>
      </c>
      <c r="B10" s="5" t="s">
        <v>47</v>
      </c>
      <c r="C10" s="5" t="s">
        <v>38</v>
      </c>
      <c r="D10" s="5" t="s">
        <v>48</v>
      </c>
      <c r="E10" s="5" t="s">
        <v>40</v>
      </c>
      <c r="F10" s="5" t="s">
        <v>49</v>
      </c>
      <c r="G10" s="5">
        <f>1/264</f>
        <v>3.787878787878788E-3</v>
      </c>
    </row>
    <row r="11" spans="1:7" ht="15">
      <c r="A11" s="4" t="s">
        <v>50</v>
      </c>
      <c r="B11" s="4" t="s">
        <v>51</v>
      </c>
      <c r="C11" s="4" t="s">
        <v>9</v>
      </c>
      <c r="D11" s="4" t="s">
        <v>52</v>
      </c>
      <c r="E11" s="4" t="s">
        <v>11</v>
      </c>
      <c r="F11" s="4" t="s">
        <v>53</v>
      </c>
      <c r="G11" s="4">
        <v>1</v>
      </c>
    </row>
    <row r="12" spans="1:7">
      <c r="A12" s="4" t="s">
        <v>54</v>
      </c>
      <c r="B12" s="6"/>
      <c r="C12" s="6"/>
      <c r="D12" s="6"/>
      <c r="E12" s="4" t="s">
        <v>55</v>
      </c>
      <c r="F12" s="4" t="s">
        <v>56</v>
      </c>
      <c r="G12" s="4">
        <f>1/10</f>
        <v>0.1</v>
      </c>
    </row>
    <row r="14" spans="1:7" ht="15"/>
  </sheetData>
  <autoFilter ref="A1:G1" xr:uid="{00000000-0001-0000-0000-000000000000}"/>
  <conditionalFormatting sqref="F1:F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7BA577-406E-4EEC-BDC2-3B9249A96A8F}"/>
</file>

<file path=customXml/itemProps2.xml><?xml version="1.0" encoding="utf-8"?>
<ds:datastoreItem xmlns:ds="http://schemas.openxmlformats.org/officeDocument/2006/customXml" ds:itemID="{D65C0794-9D73-4A7E-97C2-49ED5C868917}"/>
</file>

<file path=customXml/itemProps3.xml><?xml version="1.0" encoding="utf-8"?>
<ds:datastoreItem xmlns:ds="http://schemas.openxmlformats.org/officeDocument/2006/customXml" ds:itemID="{69E3912A-3F27-484A-9FDD-769170111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Sheyla Milenka Flores Quispe</cp:lastModifiedBy>
  <cp:revision/>
  <dcterms:created xsi:type="dcterms:W3CDTF">2015-06-05T18:19:34Z</dcterms:created>
  <dcterms:modified xsi:type="dcterms:W3CDTF">2026-06-19T22:10:59Z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